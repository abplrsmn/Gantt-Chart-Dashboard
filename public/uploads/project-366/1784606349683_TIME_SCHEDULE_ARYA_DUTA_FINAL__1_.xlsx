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1148"/>
  </bookViews>
  <sheets>
    <sheet name="Sheet1" sheetId="1" r:id="rId1"/>
    <sheet name="Sheet2" sheetId="2" r:id="rId2"/>
  </sheets>
  <definedNames>
    <definedName name="_xlnm.Print_Area" localSheetId="0">Sheet1!$A$29:$W$322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<sst xmlns="http://schemas.openxmlformats.org/spreadsheetml/2006/main" count="533" uniqueCount="254">
  <si>
    <t>NEW GYMNASIUM</t>
  </si>
  <si>
    <t>ARYADUTA MEDAN</t>
  </si>
  <si>
    <t xml:space="preserve">CONTRACTOR : </t>
  </si>
  <si>
    <t>Bill of Quantity R3</t>
  </si>
  <si>
    <t>SPEK FINAL</t>
  </si>
  <si>
    <t>TIME SCHEDULE NEW GYMNASIUM</t>
  </si>
  <si>
    <t>NO.</t>
  </si>
  <si>
    <t>ITEM</t>
  </si>
  <si>
    <t>UNIT</t>
  </si>
  <si>
    <t>VOL</t>
  </si>
  <si>
    <t>UNIT PRICE</t>
  </si>
  <si>
    <t>TOTAL</t>
  </si>
  <si>
    <t>JUMLAH TOTAL</t>
  </si>
  <si>
    <t>BOBOT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</si>
  <si>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</si>
  <si>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</si>
  <si>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</si>
  <si>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</si>
  <si>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</si>
  <si>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</si>
  <si>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</si>
  <si>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</si>
  <si>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</si>
  <si>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</si>
  <si>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</si>
  <si>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</si>
  <si>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</si>
  <si>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sd</t>
  </si>
  <si>
    <t>A</t>
  </si>
  <si>
    <t>PRELIMINARY</t>
  </si>
  <si>
    <t>Manajemen Proyek dan Pengawasan Lapangan</t>
  </si>
  <si>
    <t>ls</t>
  </si>
  <si>
    <t>Mobilisasi &amp; Demobilisasi Tenaga Kerja, Material dan Peralatan</t>
  </si>
  <si>
    <t>Material Approval, Shop Drawing dan As Built Drawing</t>
  </si>
  <si>
    <t>Site Management (Proteksi Fasilitas Existing dan Akses, Kebersihan, Pembuangan Sampah)</t>
  </si>
  <si>
    <t>Testing &amp; Commissioning</t>
  </si>
  <si>
    <t>Pemindahan alat-alat gym dari lokasi saat ini ke lokasi baru</t>
  </si>
  <si>
    <t>SUB TOTAL A</t>
  </si>
  <si>
    <t>B</t>
  </si>
  <si>
    <t>PEKERJAAN PEMBONGKARAN</t>
  </si>
  <si>
    <t>Pembongkaran seluruh fasilitas area existing termasuk tapi tidak terbatas pada finishing lantai, dinding, ceiling, railing parapet, pintu dan jendela, AC, instalasi listrik, dan lain-lain untuk menyesuaikan design gym</t>
  </si>
  <si>
    <t>SUB TOTAL B</t>
  </si>
  <si>
    <t>C</t>
  </si>
  <si>
    <t>PEKERJAAN LANTAI DAN FINISHING LANTAI</t>
  </si>
  <si>
    <t>Raised floor tinggi 300 mm pada area Male &amp; Female Toilet</t>
  </si>
  <si>
    <t>a</t>
  </si>
  <si>
    <t>Urugan bata ringan tebal 200 mm</t>
  </si>
  <si>
    <t>m2</t>
  </si>
  <si>
    <t>b</t>
  </si>
  <si>
    <t>Plat lantai tebal 75 mm</t>
  </si>
  <si>
    <t>Gym Flooring Rubber Gym Matt (Maxive Rubber Matt 50cmx50cmx2cm)</t>
  </si>
  <si>
    <t>Finishing lantai Vinyl TV 3048 termasuk screed dan aci pada Area Foyer</t>
  </si>
  <si>
    <t>Finishing lantai HT Indogress Aurora ukuran 600 x 600 mm pada</t>
  </si>
  <si>
    <t>Male Toilet, Female Toilet, Toilet Entrance</t>
  </si>
  <si>
    <t>Step Tangga Raise Floor</t>
  </si>
  <si>
    <t>m</t>
  </si>
  <si>
    <t>Penutupan celah lantai dengan jendela façade menggunakan plywood fin. ducco paint rangka L-50x50x5 mm</t>
  </si>
  <si>
    <t>SUB TOTAL C</t>
  </si>
  <si>
    <t>D</t>
  </si>
  <si>
    <t>PEKERJAAN DINDING DAN FINISHING DINDING</t>
  </si>
  <si>
    <t>Dinding bata ringan termasuk bata ringan tebal 100 mm, perekat bata ringan menggunakan semen instan, balok dan kolom praktis</t>
  </si>
  <si>
    <t>Plester dan aci dinding menggunakan semen instan MU/ AM/ setara</t>
  </si>
  <si>
    <t>Cermin dinding ukuran 8500 x 2850 mm termasuk cermin tebal 5 mm, backing plywood tebal 12 mm, Lighting (LED Strip, Channel dan Acrylic Cover) pada Area Gym</t>
  </si>
  <si>
    <t>unit</t>
  </si>
  <si>
    <t>Wall Panel fin. HPL pada Foyer</t>
  </si>
  <si>
    <t>Elv - 1, ukuran lebar 4100 x tinggi 2850 mm termasuk indirect light</t>
  </si>
  <si>
    <t>Elv - 2, ukuran lebar 2700 x tinggi 2850 mm termasuk ambalan meja/ counter top, stainless steel frame, indirect LED light</t>
  </si>
  <si>
    <t>Cat Dinding, Dulux Pentalite</t>
  </si>
  <si>
    <t>Finishing dinding, Homogenous Tile Indogress Bianco Damasco ukuran 600 x 600 mm pada :</t>
  </si>
  <si>
    <t>Male Toilet</t>
  </si>
  <si>
    <t>Female Toilet</t>
  </si>
  <si>
    <t>Partisi gypsum 1 sisi, rangka hollow 20x40, gypsum 9 mm Jayaboard termasuk cat utk cover instalasi stop kontak alat gym</t>
  </si>
  <si>
    <t>SUB TOTAL D</t>
  </si>
  <si>
    <t>E</t>
  </si>
  <si>
    <t>PEKERJAAN CEILING</t>
  </si>
  <si>
    <t>Ceiling gypsum menggunakan rangka hollow 40x40x0.4 mm, gypsum board ex Jayaboard tebal 9 mm termasuk kompon, rod penggantung pada :</t>
  </si>
  <si>
    <t>Gym Area, Foyer dan Toilet Entrance</t>
  </si>
  <si>
    <t>Area Façade, tinggi 600 mm</t>
  </si>
  <si>
    <t>Ceiling gypsum menggunakan rangka hollow 40x40x0.4 mm, water resistant gypsum board ex Jayaboard tebal 9 mm termasuk kompon, rod penggantung pada Male Toilet dan Female Toilet</t>
  </si>
  <si>
    <t>Shadow line/ tali air ceiling pada :</t>
  </si>
  <si>
    <t>Gym Area, Foyer dan Toilet Entrace</t>
  </si>
  <si>
    <t>c</t>
  </si>
  <si>
    <t>Cove Ceiling untuk indirect lamp sesuai gambar pada :</t>
  </si>
  <si>
    <t>Gym Area dan Foyer</t>
  </si>
  <si>
    <t>Cove Light, plywood fin cat hitam pada gym area dan foyer sesuai gambar</t>
  </si>
  <si>
    <t>SUB TOTAL E</t>
  </si>
  <si>
    <t>F</t>
  </si>
  <si>
    <t>PEKERJAAN WATERPROOFING</t>
  </si>
  <si>
    <t>Waterproofing lantai menggunakan Sika Top 107 termasuk dinding setinggi 200 mm pada :</t>
  </si>
  <si>
    <t>Waterproofing dinding area shower menggunakan Sika Top 107 pada :</t>
  </si>
  <si>
    <t>SUB TOTAL F</t>
  </si>
  <si>
    <t>G</t>
  </si>
  <si>
    <t>PEKERJAAN SANITARY</t>
  </si>
  <si>
    <t>Pengadaan dan pemasangan sanitary fixtures complete set termasuk aksesoris dan material bantu pada Male Toilet</t>
  </si>
  <si>
    <t>Lavatory, Toto LW651J</t>
  </si>
  <si>
    <t>Lavatory Faucet, Toto TX 115 MME</t>
  </si>
  <si>
    <t>Toilet, Toto C769CEID/ TCW07SV5/ S769DREID + Eco Washer</t>
  </si>
  <si>
    <t>d</t>
  </si>
  <si>
    <t>Bidet Spray, Toto TX403 MMD</t>
  </si>
  <si>
    <t>e</t>
  </si>
  <si>
    <t>Urinal, UW58J</t>
  </si>
  <si>
    <t>f</t>
  </si>
  <si>
    <t>Shower Head, Toto TX 488SZ</t>
  </si>
  <si>
    <t>g</t>
  </si>
  <si>
    <t>Hand Shower, Toto TX 472 MME</t>
  </si>
  <si>
    <t>h</t>
  </si>
  <si>
    <t>Mixer with Diverter, Toto TX 442 MME</t>
  </si>
  <si>
    <t>i</t>
  </si>
  <si>
    <t>Paper Holder, TX 703 M3AV1</t>
  </si>
  <si>
    <t>j</t>
  </si>
  <si>
    <t>Floor Drain, Paloma FDP 3101 atau Toto</t>
  </si>
  <si>
    <t>Pengadaan dan pemasangan sanitary fixtures complete set termasuk aksesoris dan material bantu pada Female Toilet</t>
  </si>
  <si>
    <t>SUB TOTAL G</t>
  </si>
  <si>
    <t>H</t>
  </si>
  <si>
    <t>PEKERJAAN PINTU DAN JENDELA</t>
  </si>
  <si>
    <t>Pintu double swing, kaca frameless tempered tebal 12 mm, ukuran lebar 1900 x tinggi 2700 mm termasuk floor hinges Deckson, Pull Handle tinggi 300 mm</t>
  </si>
  <si>
    <t>Pintu solid engineering fin HPL, ukuran lebar 800 x tinggi 2200 mm termasuk engsel, push pull handle dan concealed door closer ex Deckson</t>
  </si>
  <si>
    <t>Cubicle Toilet &amp; Shower fin frosted tempered glass dan hardware stainless steel pada</t>
  </si>
  <si>
    <t>SUB TOTAL H</t>
  </si>
  <si>
    <t>PEKERJAAN BUILT IN &amp; LOOSE FURNITURE</t>
  </si>
  <si>
    <t xml:space="preserve">Full Height Storage Cabinet ukuran 2300 x 2850 dan 2600 x 2850, fin. HPL termasuk aksesoris, hardware dan digital door lock pada Gym Area </t>
  </si>
  <si>
    <t>Full Height Small Storage Cabinet ukuran 1450 x 2550, fin. HPL dan mirror di pintu termasuk aksesoris dan hardware pada Toilet Entrance</t>
  </si>
  <si>
    <t>Cermin Lavatory termasuk cermin tebal 5 mm, backing plywood tebal 12 mm, LED Lamp pada</t>
  </si>
  <si>
    <t>Male Toilet, ukuran lebar 930 x tinggi 1450 mm</t>
  </si>
  <si>
    <t>Female Toilet, ukuran lebar 1750 x tinggi 1450 mm</t>
  </si>
  <si>
    <t>Meja Lavatory fin. HPL (Laci diubah menjadi Partisi ) termasuk top table Solid Surface pada</t>
  </si>
  <si>
    <t>Male Toilet, panjang 1000 mm</t>
  </si>
  <si>
    <t>Female Toilet, panjang 1800 mm</t>
  </si>
  <si>
    <t>Bench pada Foyer, ukuran 1100 x 400 mm</t>
  </si>
  <si>
    <t>SUB TOTAL I</t>
  </si>
  <si>
    <t>J</t>
  </si>
  <si>
    <t>PEKERJAAN ELEKTRIKAL</t>
  </si>
  <si>
    <t>Panel SDP Ruang Gym, ukuran 40x40 cm tebal 20 cm lengkap dengan :</t>
  </si>
  <si>
    <t>MCB utama 3 phase 45A, Schneider : 1 buah</t>
  </si>
  <si>
    <t>MCB utama 3 phase 32A, Schneider : 2 buah</t>
  </si>
  <si>
    <t>MCB pembagi 1 phase 16A, Schneider : 7 buah</t>
  </si>
  <si>
    <t>MCB pembagi 1 phase 10A, Schneider : 3 buah</t>
  </si>
  <si>
    <t>ELCB 10 A untuk alat gym : 2 buah</t>
  </si>
  <si>
    <t>Rel dudukan MCB</t>
  </si>
  <si>
    <t>Grounding max 2 Ohm</t>
  </si>
  <si>
    <t xml:space="preserve">Instalasi kabel feeder &amp; breaker utama dari panel lantai gedung ke panel daya ruang Gym, </t>
  </si>
  <si>
    <t>Kabel NYY 4x6 + grounding BC 6 mm Eterna termasuk clamp, dll</t>
  </si>
  <si>
    <t>MCCB 3 phase 50A, Schneider</t>
  </si>
  <si>
    <t>pcs</t>
  </si>
  <si>
    <t>LED Strip untuk Indirect Lamp Ceiling Cove, LEDstrip ex Hiled / Maxled, 3000K termasuk transformer, dll pada :</t>
  </si>
  <si>
    <t>Step Tangga Raised Floor</t>
  </si>
  <si>
    <t>Downlight pada Area Gym dan Foyer, armature lampu warna hitam, ex Hiled / Maxled , 12W 3000K</t>
  </si>
  <si>
    <t>Downlight pada Toilet dan Toilet Entrance, Philips Meson 9W, beam angle 90 deg, 3000K</t>
  </si>
  <si>
    <t>Armatur Stop Kontak termasuk inbow dus, material bantu dan aksesoris :</t>
  </si>
  <si>
    <t xml:space="preserve">Stop Kontak Dinding ex Panasonic, Style E </t>
  </si>
  <si>
    <t>Armatur Saklar, Panasonic Style E termasuk inbow dus, material bantu dan aksesoris pada :</t>
  </si>
  <si>
    <t>Saklar Hubung 6 gang untuk lampu Foyer dan Area Gym</t>
  </si>
  <si>
    <t>set</t>
  </si>
  <si>
    <t>Saklar Ganda di Male &amp; Female Toilet</t>
  </si>
  <si>
    <t>Instalasi lampu &amp; exhaust fan dari dan ke saklar menggunakan kabel NYM 3x1.5 mm ex Eterna termasuk conduit 20 mm, bobokan, perapihan kembali, material bantu dan aksesoris untuk :</t>
  </si>
  <si>
    <t>Indirect lamp area gym dan foyer</t>
  </si>
  <si>
    <t>titik</t>
  </si>
  <si>
    <t>Indirect lamp wall panel area foyer</t>
  </si>
  <si>
    <t>Indirect lamp step tangga raised floor</t>
  </si>
  <si>
    <t>Indirect lamp cermin lavatory male dan female toilet</t>
  </si>
  <si>
    <t>Downlight area gym dan foyer</t>
  </si>
  <si>
    <t>Downlight area toilet dan toilet entrance</t>
  </si>
  <si>
    <t>Exhaust fan di Male &amp; Female Toilet</t>
  </si>
  <si>
    <t>Stop Kontak Dinding</t>
  </si>
  <si>
    <t>SUB TOTAL J</t>
  </si>
  <si>
    <t>K</t>
  </si>
  <si>
    <t>PEKERJAAN PLUMBING</t>
  </si>
  <si>
    <t>Instalasi pipa air dingin menggunakan pipa PPR PN10 ex Toro/ SD termasuk fitting (elbow, tee, reducer, dll) sesuai gambar dengan detail :</t>
  </si>
  <si>
    <t>Pipa dia. 1"</t>
  </si>
  <si>
    <t>Elbow dia. 1"</t>
  </si>
  <si>
    <t>Tee dia. 1"</t>
  </si>
  <si>
    <t>Socket dia. 1"</t>
  </si>
  <si>
    <t>Ball Valve dia. 1", Kitz</t>
  </si>
  <si>
    <t>Instalasi pipa air panas menggunakan pipa PPR PN20 Toro/ SD termasuk fitting (elbow, tee, reducer, dll) sesuai gambar dengan detail :</t>
  </si>
  <si>
    <t>Pipa dia. 3/4"</t>
  </si>
  <si>
    <t>Elbow dia. 3/4"</t>
  </si>
  <si>
    <t>Tee dia. 3/4"</t>
  </si>
  <si>
    <t>Socket dia. 3/4"</t>
  </si>
  <si>
    <t>Ball Valve dia. 3/4"</t>
  </si>
  <si>
    <t>Instalasi pipa air kotor</t>
  </si>
  <si>
    <t>Coring dia. 4" mm termasuk grouting</t>
  </si>
  <si>
    <t>Pipa PVC AW dia. 4" termasuk klem bracket, penggantung pipa ke dak beton, dll</t>
  </si>
  <si>
    <t>Elbow PVC AW dia. 4" mm, 90 deg</t>
  </si>
  <si>
    <t>Tee PVC AW dia. 4"</t>
  </si>
  <si>
    <t>Socket PVC AW dia. 4"</t>
  </si>
  <si>
    <t>Instalasi pipa air bekas</t>
  </si>
  <si>
    <t>Coring dia. 3" termasuk grouting</t>
  </si>
  <si>
    <t>Pipa PVC AW 3" termasuk klem bracket, penggantung pipa ke dak beton, material bantu, aksesoris, dll</t>
  </si>
  <si>
    <t>Pipa PVC AW 2" termasuk klem bracket, penggantung pipa ke dak beton, material bantu, aksesoris, dll</t>
  </si>
  <si>
    <t>Elbow PVC AW 3", 90 deg</t>
  </si>
  <si>
    <t>Tee PVC AW 3"</t>
  </si>
  <si>
    <t>P Trap 2"</t>
  </si>
  <si>
    <t>Reducer 3" ke 2"</t>
  </si>
  <si>
    <t>Instalasi pipa vent</t>
  </si>
  <si>
    <t>Pipa PVC D dia. 1" mm termasuk fitting, klem bracket, penggantung pipa ke dak beton dll</t>
  </si>
  <si>
    <t>SUB TOTAL K</t>
  </si>
  <si>
    <t>L</t>
  </si>
  <si>
    <t>PEKERJAAN VAC</t>
  </si>
  <si>
    <t>Unit AC dan Exhaust Fan termasuk bracket, aksesoris dan material bantu pada :</t>
  </si>
  <si>
    <t>AC Split Wall Mounted, Sharp/ LG, 2.5PK non inverter</t>
  </si>
  <si>
    <t>Exhaust Fan Ceiling Duct, KDK 24CDQNA 24CDQN 12 Inch atau setara di male toilet dan female toilet</t>
  </si>
  <si>
    <t>Pipa Refrigerant Supply &amp; Return, ukuran 3/8 + 5/8 ex Hoda / Artic termasuk insulasi (insuflex/ armaflex)</t>
  </si>
  <si>
    <t>Instalasi Kabel AC :</t>
  </si>
  <si>
    <t>Kabel Kontrol NYM 3x1.5 mm , Eterna</t>
  </si>
  <si>
    <t>Kabel Power NYM 3x4 mm, Eterna</t>
  </si>
  <si>
    <t>Pipa Drain PVC AW 3/4" + Insulasi</t>
  </si>
  <si>
    <t>Ducting exhaust fan menggunakan PVC class D dia. 4 inch ex Rucika termasuk fitting, aksesoris dan material bantu pada</t>
  </si>
  <si>
    <t>Vent Cup Grill 4", Aluminium powder coating finish</t>
  </si>
  <si>
    <t>SUB TOTAL L</t>
  </si>
  <si>
    <t>M</t>
  </si>
  <si>
    <t>PEKERJAAN SPRINKLER, FIRE ALARM, PAGING SPEAKER</t>
  </si>
  <si>
    <t>Pekerjaan modifikasi dropper sprinkler menyesuaikan ketinggian plafon sesuai design</t>
  </si>
  <si>
    <t>Pekerjaan pemasangan ulang fire alarm sesuai design</t>
  </si>
  <si>
    <t>Pekerjaan pemasangan paging speaker sesuai design</t>
  </si>
  <si>
    <t>SUB TOTAL M</t>
  </si>
  <si>
    <t>N</t>
  </si>
  <si>
    <t>PEKERJAAN SOUND SYSTEM</t>
  </si>
  <si>
    <t>Peralatan sound system termasuk 3 ceiling speaker Polytron</t>
  </si>
  <si>
    <t>Instalasi ceiling speaker menggunakan NYMHY 2x1.5 mm termasuk conduit 20 mm, aksesoris dan material bantu</t>
  </si>
  <si>
    <t>SUB TOTAL N</t>
  </si>
  <si>
    <t>O</t>
  </si>
  <si>
    <t>PEKERJAAN DATA, TV, TELP</t>
  </si>
  <si>
    <t>Instalasi Data, UTP CAT6, Belden termasuk conduit</t>
  </si>
  <si>
    <t>Access Point, RG-AP 840L</t>
  </si>
  <si>
    <t>SUB TOTAL O</t>
  </si>
  <si>
    <t>P</t>
  </si>
  <si>
    <t>PEKERJAAN CCTV</t>
  </si>
  <si>
    <t>Camera CCTV tipe Dome HIK Vision 2MP, ceiling mounted DS-2CD1127G2-L(UF) termasuk bracket, dll</t>
  </si>
  <si>
    <t>Swicth POE, 8 port, TP-Link</t>
  </si>
  <si>
    <t>Instalasi camera CCTV dari camera CCTV ke Control Room, UTP Cat 6 ex Belden termasuk conduit 20 mm, dll</t>
  </si>
  <si>
    <t>SUB TOTAL P</t>
  </si>
  <si>
    <t>Q</t>
  </si>
  <si>
    <t>PEKERJAAN TAMBAH/ KURANG</t>
  </si>
  <si>
    <t>Biaya Drain dan Pengisian Air Pemadam (PROVISIONAL SUM)</t>
  </si>
  <si>
    <t>RENCANA</t>
  </si>
  <si>
    <t>KUMULATIF RENCANA</t>
  </si>
  <si>
    <t>REALISASI</t>
  </si>
  <si>
    <t>1.85</t>
  </si>
  <si>
    <t>KUMULATIF REALISASI</t>
  </si>
  <si>
    <t>DEVIASI</t>
  </si>
  <si>
    <t>SUMMARY</t>
  </si>
  <si>
    <t>PPN 11%</t>
  </si>
  <si>
    <t>GRAND TOTAL</t>
  </si>
  <si>
    <t>Condition of Contract :</t>
  </si>
  <si>
    <t>-</t>
  </si>
  <si>
    <t>Lump Sum Fixed Price</t>
  </si>
  <si>
    <t>Harga Penawaran Negosiasi : Rp 856,000,000,- (EX PPN)</t>
  </si>
  <si>
    <t>Harga sudah termasuk PPN dan PPH (sesuai dengan ketentuan yang berlaku)</t>
  </si>
  <si>
    <t>Down Payment dijamin dengan Bank Garansi/ Asuransi</t>
  </si>
  <si>
    <t>Payment Term :</t>
  </si>
  <si>
    <t>DP : 30% counter jaminan uang muka</t>
  </si>
  <si>
    <t>Monthly Payment : progress aktual dipotong uang muka</t>
  </si>
  <si>
    <t>Retention 5% selama masa pemeliharaan (3 bulan dari Serah Terima)</t>
  </si>
  <si>
    <t>Penyelesaian pekerjaan : 90 hari kalender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</si>
</sst>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.000_);_(* \(#,##0.000\);_(* &quot;-&quot;??_);_(@_)"/>
    <numFmt numFmtId="178" formatCode="[$-409]d\-mmm\-yy;@"/>
  </numFmts>
  <fonts count="30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</font>
    <font>
      <b/>
      <sz val="11"/>
      <name val="Calibri"/>
      <charset val="134"/>
    </font>
    <font>
      <b/>
      <sz val="20"/>
      <name val="Calibri"/>
      <charset val="134"/>
    </font>
    <font>
      <b/>
      <sz val="14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Tms Rm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32" applyNumberFormat="0" applyAlignment="0" applyProtection="0">
      <alignment vertical="center"/>
    </xf>
    <xf numFmtId="0" fontId="19" fillId="6" borderId="33" applyNumberFormat="0" applyAlignment="0" applyProtection="0">
      <alignment vertical="center"/>
    </xf>
    <xf numFmtId="0" fontId="20" fillId="6" borderId="32" applyNumberFormat="0" applyAlignment="0" applyProtection="0">
      <alignment vertical="center"/>
    </xf>
    <xf numFmtId="0" fontId="21" fillId="7" borderId="34" applyNumberFormat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6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177" fontId="29" fillId="0" borderId="0"/>
  </cellStyleXfs>
  <cellXfs count="8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center" vertical="center"/>
    </xf>
    <xf numFmtId="4" fontId="2" fillId="0" borderId="0" xfId="1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4" fontId="4" fillId="0" borderId="0" xfId="0" applyNumberFormat="1" applyFont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" fontId="4" fillId="2" borderId="4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4" fontId="4" fillId="0" borderId="6" xfId="0" applyNumberFormat="1" applyFont="1" applyBorder="1" applyAlignment="1">
      <alignment horizontal="center" vertical="center"/>
    </xf>
    <xf numFmtId="4" fontId="2" fillId="0" borderId="6" xfId="1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4" fontId="4" fillId="2" borderId="4" xfId="1" applyNumberFormat="1" applyFont="1" applyFill="1" applyBorder="1" applyAlignment="1">
      <alignment horizontal="center" vertical="center"/>
    </xf>
    <xf numFmtId="4" fontId="7" fillId="2" borderId="4" xfId="0" applyNumberFormat="1" applyFont="1" applyFill="1" applyBorder="1" applyAlignment="1">
      <alignment horizontal="center" vertical="center"/>
    </xf>
    <xf numFmtId="178" fontId="7" fillId="2" borderId="4" xfId="0" applyNumberFormat="1" applyFont="1" applyFill="1" applyBorder="1" applyAlignment="1">
      <alignment horizontal="center" vertical="center"/>
    </xf>
    <xf numFmtId="4" fontId="4" fillId="0" borderId="5" xfId="1" applyNumberFormat="1" applyFont="1" applyFill="1" applyBorder="1" applyAlignment="1">
      <alignment horizontal="center" vertical="center"/>
    </xf>
    <xf numFmtId="178" fontId="7" fillId="0" borderId="7" xfId="0" applyNumberFormat="1" applyFont="1" applyBorder="1" applyAlignment="1">
      <alignment horizontal="center" vertical="center"/>
    </xf>
    <xf numFmtId="4" fontId="2" fillId="3" borderId="5" xfId="0" applyNumberFormat="1" applyFont="1" applyFill="1" applyBorder="1" applyAlignment="1">
      <alignment horizontal="center" vertical="center"/>
    </xf>
    <xf numFmtId="4" fontId="3" fillId="0" borderId="6" xfId="1" applyNumberFormat="1" applyFont="1" applyFill="1" applyBorder="1" applyAlignment="1">
      <alignment horizontal="center" vertical="center"/>
    </xf>
    <xf numFmtId="4" fontId="2" fillId="0" borderId="6" xfId="0" applyNumberFormat="1" applyFont="1" applyBorder="1" applyAlignment="1">
      <alignment horizontal="center" vertical="center"/>
    </xf>
    <xf numFmtId="4" fontId="4" fillId="0" borderId="6" xfId="1" applyNumberFormat="1" applyFont="1" applyFill="1" applyBorder="1" applyAlignment="1">
      <alignment horizontal="center" vertical="center"/>
    </xf>
    <xf numFmtId="4" fontId="2" fillId="3" borderId="6" xfId="0" applyNumberFormat="1" applyFont="1" applyFill="1" applyBorder="1" applyAlignment="1">
      <alignment horizontal="center" vertical="center"/>
    </xf>
    <xf numFmtId="4" fontId="1" fillId="0" borderId="6" xfId="1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4" fontId="3" fillId="0" borderId="8" xfId="0" applyNumberFormat="1" applyFont="1" applyBorder="1" applyAlignment="1">
      <alignment horizontal="center" vertical="center"/>
    </xf>
    <xf numFmtId="4" fontId="2" fillId="0" borderId="8" xfId="1" applyNumberFormat="1" applyFont="1" applyFill="1" applyBorder="1" applyAlignment="1">
      <alignment horizontal="center" vertical="center"/>
    </xf>
    <xf numFmtId="4" fontId="1" fillId="0" borderId="4" xfId="1" applyNumberFormat="1" applyFont="1" applyFill="1" applyBorder="1" applyAlignment="1">
      <alignment horizontal="center" vertical="center"/>
    </xf>
    <xf numFmtId="0" fontId="8" fillId="0" borderId="4" xfId="49" applyNumberFormat="1" applyFont="1" applyBorder="1" applyAlignment="1">
      <alignment horizontal="center"/>
    </xf>
    <xf numFmtId="4" fontId="2" fillId="0" borderId="8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4" fontId="2" fillId="0" borderId="0" xfId="1" applyNumberFormat="1" applyFont="1" applyFill="1" applyBorder="1" applyAlignment="1">
      <alignment horizontal="center" vertical="center"/>
    </xf>
    <xf numFmtId="4" fontId="2" fillId="0" borderId="9" xfId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4" fontId="4" fillId="0" borderId="11" xfId="0" applyNumberFormat="1" applyFont="1" applyBorder="1" applyAlignment="1">
      <alignment horizontal="center" vertical="center"/>
    </xf>
    <xf numFmtId="4" fontId="4" fillId="0" borderId="12" xfId="0" applyNumberFormat="1" applyFont="1" applyBorder="1" applyAlignment="1">
      <alignment horizontal="center" vertical="center"/>
    </xf>
    <xf numFmtId="4" fontId="2" fillId="0" borderId="13" xfId="1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vertical="center" wrapText="1"/>
    </xf>
    <xf numFmtId="4" fontId="3" fillId="0" borderId="15" xfId="0" applyNumberFormat="1" applyFont="1" applyBorder="1" applyAlignment="1">
      <alignment horizontal="center" vertical="center"/>
    </xf>
    <xf numFmtId="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vertical="center" wrapText="1"/>
    </xf>
    <xf numFmtId="4" fontId="3" fillId="0" borderId="18" xfId="0" applyNumberFormat="1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4" fontId="2" fillId="0" borderId="17" xfId="1" applyNumberFormat="1" applyFont="1" applyFill="1" applyBorder="1" applyAlignment="1">
      <alignment horizontal="center" vertical="center"/>
    </xf>
    <xf numFmtId="4" fontId="2" fillId="0" borderId="18" xfId="1" applyNumberFormat="1" applyFont="1" applyFill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3" fillId="0" borderId="9" xfId="0" applyFont="1" applyBorder="1" applyAlignment="1">
      <alignment vertical="center"/>
    </xf>
    <xf numFmtId="4" fontId="3" fillId="0" borderId="9" xfId="0" applyNumberFormat="1" applyFont="1" applyBorder="1" applyAlignment="1">
      <alignment horizontal="center" vertical="center"/>
    </xf>
    <xf numFmtId="4" fontId="3" fillId="0" borderId="21" xfId="0" applyNumberFormat="1" applyFont="1" applyBorder="1" applyAlignment="1">
      <alignment horizontal="center" vertical="center"/>
    </xf>
    <xf numFmtId="4" fontId="2" fillId="0" borderId="10" xfId="1" applyNumberFormat="1" applyFont="1" applyFill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4" fontId="3" fillId="0" borderId="23" xfId="0" applyNumberFormat="1" applyFont="1" applyBorder="1" applyAlignment="1">
      <alignment horizontal="center" vertical="center"/>
    </xf>
    <xf numFmtId="4" fontId="3" fillId="0" borderId="24" xfId="0" applyNumberFormat="1" applyFont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4" fontId="3" fillId="0" borderId="27" xfId="0" applyNumberFormat="1" applyFont="1" applyBorder="1" applyAlignment="1">
      <alignment horizontal="center" vertical="center"/>
    </xf>
    <xf numFmtId="4" fontId="3" fillId="0" borderId="28" xfId="0" applyNumberFormat="1" applyFont="1" applyBorder="1" applyAlignment="1">
      <alignment horizontal="center" vertical="center"/>
    </xf>
    <xf numFmtId="4" fontId="4" fillId="0" borderId="19" xfId="0" applyNumberFormat="1" applyFont="1" applyBorder="1" applyAlignment="1">
      <alignment horizontal="center" vertical="center"/>
    </xf>
    <xf numFmtId="4" fontId="4" fillId="0" borderId="18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120492295466463"/>
          <c:y val="0.00172201716457897"/>
          <c:w val="0.961265590683659"/>
          <c:h val="0.99196391989863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Sheet1!$K$317:$W$317</c:f>
              <c:numCache>
                <c:formatCode>#,##0.00</c:formatCode>
                <c:ptCount val="13"/>
                <c:pt idx="0">
                  <c:v>0.995986101126288</c:v>
                </c:pt>
                <c:pt idx="1">
                  <c:v>3.26199994757968</c:v>
                </c:pt>
                <c:pt idx="2">
                  <c:v>7.94977489216391</c:v>
                </c:pt>
                <c:pt idx="3">
                  <c:v>17.0250098007279</c:v>
                </c:pt>
                <c:pt idx="4">
                  <c:v>27.5386745949728</c:v>
                </c:pt>
                <c:pt idx="5">
                  <c:v>37.8937719242644</c:v>
                </c:pt>
                <c:pt idx="6">
                  <c:v>48.8296665666401</c:v>
                </c:pt>
                <c:pt idx="7">
                  <c:v>61.0403567697635</c:v>
                </c:pt>
                <c:pt idx="8">
                  <c:v>74.5442092100364</c:v>
                </c:pt>
                <c:pt idx="9">
                  <c:v>87.4155168683779</c:v>
                </c:pt>
                <c:pt idx="10">
                  <c:v>97.2702941528876</c:v>
                </c:pt>
                <c:pt idx="11">
                  <c:v>99.6854780733285</c:v>
                </c:pt>
                <c:pt idx="12">
                  <c:v>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3850335"/>
        <c:axId val="1703847455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Sheet1!$K$319:$W$319</c:f>
              <c:numCache>
                <c:formatCode>#,##0.00</c:formatCode>
                <c:ptCount val="13"/>
                <c:pt idx="0">
                  <c:v>1.85</c:v>
                </c:pt>
                <c:pt idx="1">
                  <c:v>6.1449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2754751"/>
        <c:axId val="1833433055"/>
      </c:lineChart>
      <c:catAx>
        <c:axId val="1703850335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03847455"/>
        <c:crosses val="autoZero"/>
        <c:auto val="1"/>
        <c:lblAlgn val="ctr"/>
        <c:lblOffset val="100"/>
        <c:noMultiLvlLbl val="0"/>
      </c:catAx>
      <c:valAx>
        <c:axId val="1703847455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03850335"/>
        <c:crosses val="autoZero"/>
        <c:crossBetween val="between"/>
      </c:valAx>
      <c:catAx>
        <c:axId val="1842754751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3433055"/>
        <c:crosses val="autoZero"/>
        <c:auto val="1"/>
        <c:lblAlgn val="ctr"/>
        <c:lblOffset val="100"/>
        <c:noMultiLvlLbl val="0"/>
      </c:catAx>
      <c:valAx>
        <c:axId val="1833433055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42754751"/>
        <c:crosses val="max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7e972d2-0a2f-4a6b-81dd-1af342396db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228599</xdr:colOff>
      <xdr:row>24</xdr:row>
      <xdr:rowOff>152400</xdr:rowOff>
    </xdr:from>
    <xdr:to>
      <xdr:col>24</xdr:col>
      <xdr:colOff>185057</xdr:colOff>
      <xdr:row>315</xdr:row>
      <xdr:rowOff>32657</xdr:rowOff>
    </xdr:to>
    <xdr:graphicFrame>
      <xdr:nvGraphicFramePr>
        <xdr:cNvPr id="3" name="Chart 2"/>
        <xdr:cNvGraphicFramePr/>
      </xdr:nvGraphicFramePr>
      <xdr:xfrm>
        <a:off x="6331585" y="4541520"/>
        <a:ext cx="11508740" cy="22406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540328</xdr:colOff>
      <xdr:row>81</xdr:row>
      <xdr:rowOff>164537</xdr:rowOff>
    </xdr:from>
    <xdr:to>
      <xdr:col>36</xdr:col>
      <xdr:colOff>471058</xdr:colOff>
      <xdr:row>160</xdr:row>
      <xdr:rowOff>13854</xdr:rowOff>
    </xdr:to>
    <xdr:pic>
      <xdr:nvPicPr>
        <xdr:cNvPr id="4" name="Picture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46" t="12417" r="23693" b="10287"/>
        <a:stretch>
          <a:fillRect/>
        </a:stretch>
      </xdr:blipFill>
      <xdr:spPr>
        <a:xfrm rot="16200000">
          <a:off x="10330815" y="16914495"/>
          <a:ext cx="14296390" cy="10422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8:W1067"/>
  <sheetViews>
    <sheetView tabSelected="1" view="pageBreakPreview" zoomScale="70" zoomScaleNormal="85" topLeftCell="A178" workbookViewId="0">
      <selection activeCell="M320" sqref="M320"/>
    </sheetView>
  </sheetViews>
  <sheetFormatPr defaultColWidth="9.11111111111111" defaultRowHeight="14.4"/>
  <cols>
    <col min="1" max="1" width="5.44444444444444" style="2" customWidth="1"/>
    <col min="2" max="2" width="68.3333333333333" style="3" customWidth="1"/>
    <col min="3" max="3" width="6.11111111111111" style="4" customWidth="1"/>
    <col min="4" max="4" width="9.11111111111111" style="4" customWidth="1"/>
    <col min="5" max="5" width="12.8888888888889" style="4" hidden="1" customWidth="1"/>
    <col min="6" max="6" width="9.11111111111111" style="4" hidden="1" customWidth="1"/>
    <col min="7" max="7" width="14" style="4" hidden="1" customWidth="1"/>
    <col min="8" max="9" width="16.5555555555556" style="4" hidden="1" customWidth="1"/>
    <col min="10" max="10" width="9.11111111111111" style="5" customWidth="1"/>
    <col min="11" max="23" width="11.5555555555556" style="4" customWidth="1"/>
    <col min="24" max="16384" width="9.11111111111111" style="3"/>
  </cols>
  <sheetData>
    <row r="28" spans="1:6">
      <c r="A28" s="6"/>
      <c r="B28" s="7"/>
      <c r="C28" s="8"/>
      <c r="D28" s="8"/>
      <c r="E28" s="8"/>
      <c r="F28" s="8"/>
    </row>
    <row r="29" ht="25.8" spans="2:6">
      <c r="B29" s="9"/>
      <c r="C29" s="10"/>
      <c r="D29" s="10"/>
      <c r="E29" s="10"/>
      <c r="F29" s="10"/>
    </row>
    <row r="30" ht="25.8" spans="2:6">
      <c r="B30" s="9"/>
      <c r="C30" s="10"/>
      <c r="D30" s="10"/>
      <c r="E30" s="10"/>
      <c r="F30" s="10"/>
    </row>
    <row r="31" spans="1:6">
      <c r="A31" s="9" t="s">
        <v>0</v>
      </c>
      <c r="B31" s="11"/>
      <c r="C31" s="12"/>
      <c r="D31" s="12"/>
      <c r="E31" s="12"/>
      <c r="F31" s="12"/>
    </row>
    <row r="32" ht="25.8" spans="1:6">
      <c r="A32" s="9" t="s">
        <v>1</v>
      </c>
      <c r="B32" s="11"/>
      <c r="C32" s="10"/>
      <c r="D32" s="10"/>
      <c r="E32" s="10"/>
      <c r="F32" s="10"/>
    </row>
    <row r="33" ht="15.15" spans="1:6">
      <c r="A33" s="9" t="s">
        <v>2</v>
      </c>
      <c r="B33" s="11"/>
      <c r="C33" s="12"/>
      <c r="D33" s="12"/>
      <c r="E33" s="12"/>
      <c r="F33" s="12"/>
    </row>
    <row r="34" spans="1:8">
      <c r="A34" s="9" t="s">
        <v>3</v>
      </c>
      <c r="B34" s="11"/>
      <c r="C34" s="12"/>
      <c r="D34" s="12"/>
      <c r="E34" s="12"/>
      <c r="F34" s="12"/>
      <c r="G34" s="13" t="s">
        <v>4</v>
      </c>
      <c r="H34" s="14"/>
    </row>
    <row r="35" ht="33" customHeight="1" spans="1:23">
      <c r="A35" s="15" t="s">
        <v>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21" customHeight="1" spans="1:23">
      <c r="A36" s="16" t="s">
        <v>6</v>
      </c>
      <c r="B36" s="16" t="s">
        <v>7</v>
      </c>
      <c r="C36" s="17" t="s">
        <v>8</v>
      </c>
      <c r="D36" s="17" t="s">
        <v>9</v>
      </c>
      <c r="E36" s="17" t="s">
        <v>10</v>
      </c>
      <c r="F36" s="17" t="s">
        <v>11</v>
      </c>
      <c r="G36" s="17" t="s">
        <v>10</v>
      </c>
      <c r="H36" s="17" t="s">
        <v>11</v>
      </c>
      <c r="I36" s="17" t="s">
        <v>12</v>
      </c>
      <c r="J36" s="30" t="s">
        <v>13</v>
      </c>
      <c r="K36" s="31" t="s">
        <v>14</v>
      </c>
      <c r="L36" s="31" t="s">
        <v>15</v>
      </c>
      <c r="M36" s="31" t="s">
        <v>16</v>
      </c>
      <c r="N36" s="31" t="s">
        <v>17</v>
      </c>
      <c r="O36" s="31" t="s">
        <v>18</v>
      </c>
      <c r="P36" s="31" t="s">
        <v>19</v>
      </c>
      <c r="Q36" s="31" t="s">
        <v>20</v>
      </c>
      <c r="R36" s="31" t="s">
        <v>21</v>
      </c>
      <c r="S36" s="31" t="s">
        <v>22</v>
      </c>
      <c r="T36" s="31" t="s">
        <v>23</v>
      </c>
      <c r="U36" s="31" t="s">
        <v>24</v>
      </c>
      <c r="V36" s="31" t="s">
        <v>25</v>
      </c>
      <c r="W36" s="31" t="s">
        <v>26</v>
      </c>
    </row>
    <row r="37" ht="21" customHeight="1" spans="1:23">
      <c r="A37" s="16"/>
      <c r="B37" s="16"/>
      <c r="C37" s="17"/>
      <c r="D37" s="17"/>
      <c r="E37" s="17"/>
      <c r="F37" s="17"/>
      <c r="G37" s="17"/>
      <c r="H37" s="17"/>
      <c r="I37" s="17"/>
      <c r="J37" s="30"/>
      <c r="K37" s="32">
        <v>46139</v>
      </c>
      <c r="L37" s="32">
        <f>K37+7</f>
        <v>46146</v>
      </c>
      <c r="M37" s="32">
        <f t="shared" ref="M37:W37" si="0">L37+7</f>
        <v>46153</v>
      </c>
      <c r="N37" s="32">
        <f t="shared" si="0"/>
        <v>46160</v>
      </c>
      <c r="O37" s="32">
        <f t="shared" si="0"/>
        <v>46167</v>
      </c>
      <c r="P37" s="32">
        <f t="shared" si="0"/>
        <v>46174</v>
      </c>
      <c r="Q37" s="32">
        <f t="shared" si="0"/>
        <v>46181</v>
      </c>
      <c r="R37" s="32">
        <f t="shared" si="0"/>
        <v>46188</v>
      </c>
      <c r="S37" s="32">
        <f t="shared" si="0"/>
        <v>46195</v>
      </c>
      <c r="T37" s="32">
        <f t="shared" si="0"/>
        <v>46202</v>
      </c>
      <c r="U37" s="32">
        <f t="shared" si="0"/>
        <v>46209</v>
      </c>
      <c r="V37" s="32">
        <f t="shared" si="0"/>
        <v>46216</v>
      </c>
      <c r="W37" s="32">
        <f t="shared" si="0"/>
        <v>46223</v>
      </c>
    </row>
    <row r="38" ht="15" customHeight="1" spans="1:23">
      <c r="A38" s="16"/>
      <c r="B38" s="16"/>
      <c r="C38" s="17"/>
      <c r="D38" s="17"/>
      <c r="E38" s="17"/>
      <c r="F38" s="17"/>
      <c r="G38" s="17"/>
      <c r="H38" s="17"/>
      <c r="I38" s="17"/>
      <c r="J38" s="30"/>
      <c r="K38" s="32" t="s">
        <v>27</v>
      </c>
      <c r="L38" s="32" t="s">
        <v>27</v>
      </c>
      <c r="M38" s="32" t="s">
        <v>27</v>
      </c>
      <c r="N38" s="32" t="s">
        <v>27</v>
      </c>
      <c r="O38" s="32" t="s">
        <v>27</v>
      </c>
      <c r="P38" s="32" t="s">
        <v>27</v>
      </c>
      <c r="Q38" s="32" t="s">
        <v>27</v>
      </c>
      <c r="R38" s="32" t="s">
        <v>27</v>
      </c>
      <c r="S38" s="32" t="s">
        <v>27</v>
      </c>
      <c r="T38" s="32" t="s">
        <v>27</v>
      </c>
      <c r="U38" s="32" t="s">
        <v>27</v>
      </c>
      <c r="V38" s="32" t="s">
        <v>27</v>
      </c>
      <c r="W38" s="32" t="s">
        <v>27</v>
      </c>
    </row>
    <row r="39" ht="21" customHeight="1" spans="1:23">
      <c r="A39" s="16"/>
      <c r="B39" s="16"/>
      <c r="C39" s="17"/>
      <c r="D39" s="17"/>
      <c r="E39" s="17"/>
      <c r="F39" s="17"/>
      <c r="G39" s="17"/>
      <c r="H39" s="17"/>
      <c r="I39" s="17"/>
      <c r="J39" s="30"/>
      <c r="K39" s="32">
        <v>46145</v>
      </c>
      <c r="L39" s="32">
        <f>K39+7</f>
        <v>46152</v>
      </c>
      <c r="M39" s="32">
        <f t="shared" ref="M39:W39" si="1">L39+7</f>
        <v>46159</v>
      </c>
      <c r="N39" s="32">
        <f t="shared" si="1"/>
        <v>46166</v>
      </c>
      <c r="O39" s="32">
        <f t="shared" si="1"/>
        <v>46173</v>
      </c>
      <c r="P39" s="32">
        <f t="shared" si="1"/>
        <v>46180</v>
      </c>
      <c r="Q39" s="32">
        <f t="shared" si="1"/>
        <v>46187</v>
      </c>
      <c r="R39" s="32">
        <f t="shared" si="1"/>
        <v>46194</v>
      </c>
      <c r="S39" s="32">
        <f t="shared" si="1"/>
        <v>46201</v>
      </c>
      <c r="T39" s="32">
        <f t="shared" si="1"/>
        <v>46208</v>
      </c>
      <c r="U39" s="32">
        <f t="shared" si="1"/>
        <v>46215</v>
      </c>
      <c r="V39" s="32">
        <f t="shared" si="1"/>
        <v>46222</v>
      </c>
      <c r="W39" s="32">
        <f t="shared" si="1"/>
        <v>46229</v>
      </c>
    </row>
    <row r="40" ht="15" customHeight="1" spans="1:23">
      <c r="A40" s="18"/>
      <c r="B40" s="18"/>
      <c r="C40" s="19"/>
      <c r="D40" s="19"/>
      <c r="E40" s="19"/>
      <c r="F40" s="19"/>
      <c r="G40" s="19"/>
      <c r="H40" s="19"/>
      <c r="I40" s="19"/>
      <c r="J40" s="33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</row>
    <row r="41" spans="1:23">
      <c r="A41" s="20" t="s">
        <v>28</v>
      </c>
      <c r="B41" s="21" t="s">
        <v>29</v>
      </c>
      <c r="C41" s="22"/>
      <c r="D41" s="22"/>
      <c r="E41" s="22"/>
      <c r="F41" s="22"/>
      <c r="G41" s="23"/>
      <c r="H41" s="23"/>
      <c r="I41" s="23">
        <f>H49</f>
        <v>35000000</v>
      </c>
      <c r="J41" s="23">
        <f>I41/$I$315*100</f>
        <v>4.08878504672897</v>
      </c>
      <c r="K41" s="35">
        <f>$J$41/13</f>
        <v>0.314521926671459</v>
      </c>
      <c r="L41" s="35">
        <f t="shared" ref="L41:W41" si="2">$J$41/13</f>
        <v>0.314521926671459</v>
      </c>
      <c r="M41" s="35">
        <f t="shared" si="2"/>
        <v>0.314521926671459</v>
      </c>
      <c r="N41" s="35">
        <f t="shared" si="2"/>
        <v>0.314521926671459</v>
      </c>
      <c r="O41" s="35">
        <f t="shared" si="2"/>
        <v>0.314521926671459</v>
      </c>
      <c r="P41" s="35">
        <f t="shared" si="2"/>
        <v>0.314521926671459</v>
      </c>
      <c r="Q41" s="35">
        <f t="shared" si="2"/>
        <v>0.314521926671459</v>
      </c>
      <c r="R41" s="35">
        <f t="shared" si="2"/>
        <v>0.314521926671459</v>
      </c>
      <c r="S41" s="35">
        <f t="shared" si="2"/>
        <v>0.314521926671459</v>
      </c>
      <c r="T41" s="35">
        <f t="shared" si="2"/>
        <v>0.314521926671459</v>
      </c>
      <c r="U41" s="35">
        <f t="shared" si="2"/>
        <v>0.314521926671459</v>
      </c>
      <c r="V41" s="35">
        <f t="shared" si="2"/>
        <v>0.314521926671459</v>
      </c>
      <c r="W41" s="35">
        <f t="shared" si="2"/>
        <v>0.314521926671459</v>
      </c>
    </row>
    <row r="42" hidden="1" spans="1:23">
      <c r="A42" s="24">
        <v>1</v>
      </c>
      <c r="B42" s="25" t="s">
        <v>30</v>
      </c>
      <c r="C42" s="26" t="s">
        <v>31</v>
      </c>
      <c r="D42" s="26">
        <v>1</v>
      </c>
      <c r="E42" s="26"/>
      <c r="F42" s="26">
        <v>0</v>
      </c>
      <c r="G42" s="23">
        <v>5000000</v>
      </c>
      <c r="H42" s="26">
        <f>D42*G42</f>
        <v>5000000</v>
      </c>
      <c r="I42" s="26">
        <f>E42*H42</f>
        <v>0</v>
      </c>
      <c r="J42" s="36">
        <f>F42*I42</f>
        <v>0</v>
      </c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</row>
    <row r="43" hidden="1" spans="1:23">
      <c r="A43" s="24">
        <v>2</v>
      </c>
      <c r="B43" s="25" t="s">
        <v>32</v>
      </c>
      <c r="C43" s="26" t="s">
        <v>31</v>
      </c>
      <c r="D43" s="26">
        <v>1</v>
      </c>
      <c r="E43" s="26"/>
      <c r="F43" s="26">
        <v>0</v>
      </c>
      <c r="G43" s="23">
        <v>5000000</v>
      </c>
      <c r="H43" s="26">
        <f t="shared" ref="H43:J47" si="3">D43*G43</f>
        <v>5000000</v>
      </c>
      <c r="I43" s="26">
        <f t="shared" si="3"/>
        <v>0</v>
      </c>
      <c r="J43" s="36">
        <f t="shared" si="3"/>
        <v>0</v>
      </c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</row>
    <row r="44" hidden="1" spans="1:23">
      <c r="A44" s="24">
        <v>3</v>
      </c>
      <c r="B44" s="25" t="s">
        <v>33</v>
      </c>
      <c r="C44" s="26" t="s">
        <v>31</v>
      </c>
      <c r="D44" s="26">
        <v>1</v>
      </c>
      <c r="E44" s="26"/>
      <c r="F44" s="26">
        <v>0</v>
      </c>
      <c r="G44" s="23">
        <v>5000000</v>
      </c>
      <c r="H44" s="26">
        <f t="shared" si="3"/>
        <v>5000000</v>
      </c>
      <c r="I44" s="26">
        <f t="shared" si="3"/>
        <v>0</v>
      </c>
      <c r="J44" s="36">
        <f t="shared" si="3"/>
        <v>0</v>
      </c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</row>
    <row r="45" ht="28.8" hidden="1" spans="1:23">
      <c r="A45" s="24">
        <v>4</v>
      </c>
      <c r="B45" s="27" t="s">
        <v>34</v>
      </c>
      <c r="C45" s="26" t="s">
        <v>31</v>
      </c>
      <c r="D45" s="26">
        <v>1</v>
      </c>
      <c r="E45" s="26"/>
      <c r="F45" s="26">
        <v>0</v>
      </c>
      <c r="G45" s="23">
        <v>7500000</v>
      </c>
      <c r="H45" s="26">
        <f t="shared" si="3"/>
        <v>7500000</v>
      </c>
      <c r="I45" s="26">
        <f t="shared" si="3"/>
        <v>0</v>
      </c>
      <c r="J45" s="36">
        <f t="shared" si="3"/>
        <v>0</v>
      </c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</row>
    <row r="46" hidden="1" spans="1:23">
      <c r="A46" s="24">
        <v>5</v>
      </c>
      <c r="B46" s="25" t="s">
        <v>35</v>
      </c>
      <c r="C46" s="26" t="s">
        <v>31</v>
      </c>
      <c r="D46" s="26">
        <v>1</v>
      </c>
      <c r="E46" s="26"/>
      <c r="F46" s="26">
        <v>0</v>
      </c>
      <c r="G46" s="23">
        <v>7500000</v>
      </c>
      <c r="H46" s="26">
        <f t="shared" si="3"/>
        <v>7500000</v>
      </c>
      <c r="I46" s="26">
        <f t="shared" si="3"/>
        <v>0</v>
      </c>
      <c r="J46" s="36">
        <f t="shared" si="3"/>
        <v>0</v>
      </c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</row>
    <row r="47" hidden="1" spans="1:23">
      <c r="A47" s="24">
        <v>6</v>
      </c>
      <c r="B47" s="25" t="s">
        <v>36</v>
      </c>
      <c r="C47" s="26" t="s">
        <v>31</v>
      </c>
      <c r="D47" s="26">
        <v>1</v>
      </c>
      <c r="E47" s="26"/>
      <c r="F47" s="26">
        <v>0</v>
      </c>
      <c r="G47" s="23">
        <v>5000000</v>
      </c>
      <c r="H47" s="26">
        <f t="shared" si="3"/>
        <v>5000000</v>
      </c>
      <c r="I47" s="26">
        <f t="shared" si="3"/>
        <v>0</v>
      </c>
      <c r="J47" s="36">
        <f t="shared" si="3"/>
        <v>0</v>
      </c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</row>
    <row r="48" hidden="1" spans="1:23">
      <c r="A48" s="24"/>
      <c r="B48" s="25"/>
      <c r="C48" s="26"/>
      <c r="D48" s="26"/>
      <c r="E48" s="26"/>
      <c r="F48" s="26"/>
      <c r="G48" s="23"/>
      <c r="H48" s="23"/>
      <c r="I48" s="23"/>
      <c r="J48" s="23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</row>
    <row r="49" hidden="1" spans="1:23">
      <c r="A49" s="24"/>
      <c r="B49" s="25"/>
      <c r="C49" s="26"/>
      <c r="D49" s="26"/>
      <c r="E49" s="22" t="s">
        <v>37</v>
      </c>
      <c r="F49" s="22">
        <v>0</v>
      </c>
      <c r="G49" s="23"/>
      <c r="H49" s="22">
        <f>SUM(H42:H48)</f>
        <v>35000000</v>
      </c>
      <c r="I49" s="22">
        <f>SUM(I41:I48)</f>
        <v>35000000</v>
      </c>
      <c r="J49" s="38">
        <f>SUM(J41:J48)</f>
        <v>4.08878504672897</v>
      </c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</row>
    <row r="50" hidden="1" spans="1:23">
      <c r="A50" s="24"/>
      <c r="B50" s="25"/>
      <c r="C50" s="26"/>
      <c r="D50" s="26"/>
      <c r="E50" s="26"/>
      <c r="F50" s="26"/>
      <c r="G50" s="23"/>
      <c r="H50" s="23"/>
      <c r="I50" s="23"/>
      <c r="J50" s="23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</row>
    <row r="51" spans="1:23">
      <c r="A51" s="20" t="s">
        <v>38</v>
      </c>
      <c r="B51" s="21" t="s">
        <v>39</v>
      </c>
      <c r="C51" s="22"/>
      <c r="D51" s="22"/>
      <c r="E51" s="22"/>
      <c r="F51" s="22"/>
      <c r="G51" s="23"/>
      <c r="H51" s="23"/>
      <c r="I51" s="23"/>
      <c r="J51" s="23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</row>
    <row r="52" ht="43.2" spans="1:23">
      <c r="A52" s="24">
        <v>1</v>
      </c>
      <c r="B52" s="27" t="s">
        <v>40</v>
      </c>
      <c r="C52" s="26" t="s">
        <v>31</v>
      </c>
      <c r="D52" s="26">
        <v>1</v>
      </c>
      <c r="E52" s="26"/>
      <c r="F52" s="26">
        <v>0</v>
      </c>
      <c r="G52" s="23">
        <v>17500000</v>
      </c>
      <c r="H52" s="26">
        <f>D52*G52</f>
        <v>17500000</v>
      </c>
      <c r="I52" s="26">
        <f>H54</f>
        <v>17500000</v>
      </c>
      <c r="J52" s="23">
        <f>I52/$I$315*100</f>
        <v>2.04439252336449</v>
      </c>
      <c r="K52" s="39">
        <f>$J$52/3</f>
        <v>0.681464174454829</v>
      </c>
      <c r="L52" s="39">
        <f t="shared" ref="L52:M52" si="4">$J$52/3</f>
        <v>0.681464174454829</v>
      </c>
      <c r="M52" s="39">
        <f t="shared" si="4"/>
        <v>0.681464174454829</v>
      </c>
      <c r="N52" s="37"/>
      <c r="O52" s="37"/>
      <c r="P52" s="37"/>
      <c r="Q52" s="37"/>
      <c r="R52" s="37"/>
      <c r="S52" s="37"/>
      <c r="T52" s="37"/>
      <c r="U52" s="37"/>
      <c r="V52" s="37"/>
      <c r="W52" s="37"/>
    </row>
    <row r="53" ht="15" hidden="1" customHeight="1" spans="1:23">
      <c r="A53" s="24"/>
      <c r="B53" s="27"/>
      <c r="C53" s="26"/>
      <c r="D53" s="26"/>
      <c r="E53" s="26"/>
      <c r="F53" s="26"/>
      <c r="G53" s="23"/>
      <c r="H53" s="23"/>
      <c r="I53" s="23"/>
      <c r="J53" s="23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</row>
    <row r="54" ht="15" hidden="1" customHeight="1" spans="1:23">
      <c r="A54" s="24"/>
      <c r="B54" s="27"/>
      <c r="C54" s="26"/>
      <c r="D54" s="26"/>
      <c r="E54" s="22" t="s">
        <v>41</v>
      </c>
      <c r="F54" s="22">
        <v>0</v>
      </c>
      <c r="G54" s="23"/>
      <c r="H54" s="22">
        <f>SUM(H52:H53)</f>
        <v>17500000</v>
      </c>
      <c r="I54" s="22">
        <f>SUM(I52:I53)</f>
        <v>17500000</v>
      </c>
      <c r="J54" s="38">
        <f>SUM(J52:J53)</f>
        <v>2.04439252336449</v>
      </c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</row>
    <row r="55" ht="15" hidden="1" customHeight="1" spans="1:23">
      <c r="A55" s="24"/>
      <c r="B55" s="25"/>
      <c r="C55" s="26"/>
      <c r="D55" s="26"/>
      <c r="E55" s="26"/>
      <c r="F55" s="26"/>
      <c r="G55" s="23"/>
      <c r="H55" s="23"/>
      <c r="I55" s="23"/>
      <c r="J55" s="23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</row>
    <row r="56" spans="1:23">
      <c r="A56" s="20" t="s">
        <v>42</v>
      </c>
      <c r="B56" s="21" t="s">
        <v>43</v>
      </c>
      <c r="C56" s="22"/>
      <c r="D56" s="22"/>
      <c r="E56" s="22"/>
      <c r="F56" s="22"/>
      <c r="G56" s="23"/>
      <c r="H56" s="23"/>
      <c r="I56" s="23"/>
      <c r="J56" s="23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</row>
    <row r="57" spans="1:23">
      <c r="A57" s="24">
        <v>1</v>
      </c>
      <c r="B57" s="28" t="s">
        <v>44</v>
      </c>
      <c r="C57" s="26"/>
      <c r="D57" s="26"/>
      <c r="E57" s="26"/>
      <c r="F57" s="26"/>
      <c r="G57" s="23"/>
      <c r="H57" s="23"/>
      <c r="I57" s="23">
        <f>SUM(H58:H59)</f>
        <v>9350000</v>
      </c>
      <c r="J57" s="23">
        <f t="shared" ref="J57:J69" si="5">I57/$I$315*100</f>
        <v>1.09228971962617</v>
      </c>
      <c r="K57" s="37"/>
      <c r="L57" s="37"/>
      <c r="M57" s="39">
        <f>$J$57/2</f>
        <v>0.546144859813084</v>
      </c>
      <c r="N57" s="39">
        <f>$J$57/2</f>
        <v>0.546144859813084</v>
      </c>
      <c r="O57" s="37"/>
      <c r="P57" s="37"/>
      <c r="Q57" s="37"/>
      <c r="R57" s="37"/>
      <c r="S57" s="37"/>
      <c r="T57" s="37"/>
      <c r="U57" s="37"/>
      <c r="V57" s="37"/>
      <c r="W57" s="37"/>
    </row>
    <row r="58" hidden="1" spans="1:23">
      <c r="A58" s="24" t="s">
        <v>45</v>
      </c>
      <c r="B58" s="28" t="s">
        <v>46</v>
      </c>
      <c r="C58" s="26" t="s">
        <v>47</v>
      </c>
      <c r="D58" s="26">
        <v>18.7</v>
      </c>
      <c r="E58" s="26"/>
      <c r="F58" s="26">
        <v>0</v>
      </c>
      <c r="G58" s="23">
        <v>300000</v>
      </c>
      <c r="H58" s="26">
        <f t="shared" ref="H58:I59" si="6">D58*G58</f>
        <v>5610000</v>
      </c>
      <c r="I58" s="26">
        <f t="shared" si="6"/>
        <v>0</v>
      </c>
      <c r="J58" s="23">
        <f t="shared" si="5"/>
        <v>0</v>
      </c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</row>
    <row r="59" hidden="1" spans="1:23">
      <c r="A59" s="24" t="s">
        <v>48</v>
      </c>
      <c r="B59" s="29" t="s">
        <v>49</v>
      </c>
      <c r="C59" s="26" t="s">
        <v>47</v>
      </c>
      <c r="D59" s="26">
        <v>18.7</v>
      </c>
      <c r="E59" s="26"/>
      <c r="F59" s="26">
        <v>0</v>
      </c>
      <c r="G59" s="23">
        <v>200000</v>
      </c>
      <c r="H59" s="26">
        <f t="shared" si="6"/>
        <v>3740000</v>
      </c>
      <c r="I59" s="26">
        <f t="shared" si="6"/>
        <v>0</v>
      </c>
      <c r="J59" s="23">
        <f t="shared" si="5"/>
        <v>0</v>
      </c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</row>
    <row r="60" hidden="1" spans="1:23">
      <c r="A60" s="24"/>
      <c r="B60" s="29"/>
      <c r="C60" s="26"/>
      <c r="D60" s="26"/>
      <c r="E60" s="26"/>
      <c r="F60" s="26"/>
      <c r="G60" s="23"/>
      <c r="H60" s="23"/>
      <c r="I60" s="23"/>
      <c r="J60" s="23">
        <f t="shared" si="5"/>
        <v>0</v>
      </c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</row>
    <row r="61" spans="1:23">
      <c r="A61" s="24">
        <v>2</v>
      </c>
      <c r="B61" s="27" t="s">
        <v>50</v>
      </c>
      <c r="C61" s="26" t="s">
        <v>47</v>
      </c>
      <c r="D61" s="26">
        <v>59.9</v>
      </c>
      <c r="E61" s="26"/>
      <c r="F61" s="26">
        <v>0</v>
      </c>
      <c r="G61" s="23">
        <v>900000</v>
      </c>
      <c r="H61" s="26">
        <f>D61*G61</f>
        <v>53910000</v>
      </c>
      <c r="I61" s="26">
        <f>H61</f>
        <v>53910000</v>
      </c>
      <c r="J61" s="23">
        <f t="shared" si="5"/>
        <v>6.29789719626168</v>
      </c>
      <c r="K61" s="37"/>
      <c r="L61" s="37"/>
      <c r="M61" s="37"/>
      <c r="N61" s="37"/>
      <c r="O61" s="37"/>
      <c r="P61" s="37"/>
      <c r="Q61" s="37"/>
      <c r="R61" s="37"/>
      <c r="S61" s="39">
        <f>$J$61/4</f>
        <v>1.57447429906542</v>
      </c>
      <c r="T61" s="39">
        <f t="shared" ref="T61:V61" si="7">$J$61/4</f>
        <v>1.57447429906542</v>
      </c>
      <c r="U61" s="39">
        <f t="shared" si="7"/>
        <v>1.57447429906542</v>
      </c>
      <c r="V61" s="39">
        <f t="shared" si="7"/>
        <v>1.57447429906542</v>
      </c>
      <c r="W61" s="37"/>
    </row>
    <row r="62" hidden="1" spans="1:23">
      <c r="A62" s="24"/>
      <c r="B62" s="27"/>
      <c r="C62" s="26"/>
      <c r="D62" s="26"/>
      <c r="E62" s="26"/>
      <c r="F62" s="26"/>
      <c r="G62" s="23"/>
      <c r="H62" s="23"/>
      <c r="I62" s="23"/>
      <c r="J62" s="23">
        <f t="shared" si="5"/>
        <v>0</v>
      </c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</row>
    <row r="63" spans="1:23">
      <c r="A63" s="24">
        <v>3</v>
      </c>
      <c r="B63" s="27" t="s">
        <v>51</v>
      </c>
      <c r="C63" s="26" t="s">
        <v>47</v>
      </c>
      <c r="D63" s="26">
        <v>11.5</v>
      </c>
      <c r="E63" s="26"/>
      <c r="F63" s="26">
        <v>0</v>
      </c>
      <c r="G63" s="23">
        <v>450000</v>
      </c>
      <c r="H63" s="26">
        <f>D63*G63</f>
        <v>5175000</v>
      </c>
      <c r="I63" s="26">
        <f>H63</f>
        <v>5175000</v>
      </c>
      <c r="J63" s="23">
        <f t="shared" si="5"/>
        <v>0.604556074766355</v>
      </c>
      <c r="K63" s="37"/>
      <c r="L63" s="37"/>
      <c r="M63" s="37"/>
      <c r="N63" s="37"/>
      <c r="O63" s="37"/>
      <c r="P63" s="37"/>
      <c r="Q63" s="37"/>
      <c r="R63" s="37"/>
      <c r="S63" s="39">
        <f>$J$63/4</f>
        <v>0.151139018691589</v>
      </c>
      <c r="T63" s="39">
        <f t="shared" ref="T63:V63" si="8">$J$63/4</f>
        <v>0.151139018691589</v>
      </c>
      <c r="U63" s="39">
        <f t="shared" si="8"/>
        <v>0.151139018691589</v>
      </c>
      <c r="V63" s="39">
        <f t="shared" si="8"/>
        <v>0.151139018691589</v>
      </c>
      <c r="W63" s="37"/>
    </row>
    <row r="64" hidden="1" spans="1:23">
      <c r="A64" s="24"/>
      <c r="B64" s="27"/>
      <c r="C64" s="26"/>
      <c r="D64" s="26"/>
      <c r="E64" s="26"/>
      <c r="F64" s="26"/>
      <c r="G64" s="23"/>
      <c r="H64" s="23"/>
      <c r="I64" s="23"/>
      <c r="J64" s="23">
        <f t="shared" si="5"/>
        <v>0</v>
      </c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</row>
    <row r="65" spans="1:23">
      <c r="A65" s="24">
        <v>4</v>
      </c>
      <c r="B65" s="27" t="s">
        <v>52</v>
      </c>
      <c r="C65" s="26"/>
      <c r="D65" s="26"/>
      <c r="E65" s="26"/>
      <c r="F65" s="26"/>
      <c r="G65" s="23"/>
      <c r="H65" s="23"/>
      <c r="I65" s="23">
        <f>SUM(H66:H67)</f>
        <v>8810250</v>
      </c>
      <c r="J65" s="23">
        <f t="shared" si="5"/>
        <v>1.02923481308411</v>
      </c>
      <c r="K65" s="37"/>
      <c r="L65" s="37"/>
      <c r="M65" s="37"/>
      <c r="N65" s="37"/>
      <c r="O65" s="37"/>
      <c r="P65" s="37"/>
      <c r="Q65" s="39">
        <f>$J$65/2</f>
        <v>0.514617406542056</v>
      </c>
      <c r="R65" s="39">
        <f>$J$65/2</f>
        <v>0.514617406542056</v>
      </c>
      <c r="S65" s="37"/>
      <c r="T65" s="37"/>
      <c r="U65" s="37"/>
      <c r="V65" s="37"/>
      <c r="W65" s="37"/>
    </row>
    <row r="66" hidden="1" spans="1:23">
      <c r="A66" s="24" t="s">
        <v>45</v>
      </c>
      <c r="B66" s="28" t="s">
        <v>53</v>
      </c>
      <c r="C66" s="26" t="s">
        <v>47</v>
      </c>
      <c r="D66" s="26">
        <v>17.83</v>
      </c>
      <c r="E66" s="26"/>
      <c r="F66" s="26">
        <v>0</v>
      </c>
      <c r="G66" s="23">
        <v>425000</v>
      </c>
      <c r="H66" s="26">
        <f t="shared" ref="H66:I67" si="9">D66*G66</f>
        <v>7577750</v>
      </c>
      <c r="I66" s="26">
        <f t="shared" si="9"/>
        <v>0</v>
      </c>
      <c r="J66" s="23">
        <f t="shared" si="5"/>
        <v>0</v>
      </c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</row>
    <row r="67" hidden="1" spans="1:23">
      <c r="A67" s="24" t="s">
        <v>48</v>
      </c>
      <c r="B67" s="28" t="s">
        <v>54</v>
      </c>
      <c r="C67" s="26" t="s">
        <v>55</v>
      </c>
      <c r="D67" s="26">
        <v>2.9</v>
      </c>
      <c r="E67" s="26"/>
      <c r="F67" s="26">
        <v>0</v>
      </c>
      <c r="G67" s="23">
        <v>425000</v>
      </c>
      <c r="H67" s="26">
        <f t="shared" si="9"/>
        <v>1232500</v>
      </c>
      <c r="I67" s="26">
        <f t="shared" si="9"/>
        <v>0</v>
      </c>
      <c r="J67" s="23">
        <f t="shared" si="5"/>
        <v>0</v>
      </c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</row>
    <row r="68" hidden="1" spans="1:23">
      <c r="A68" s="24"/>
      <c r="B68" s="28"/>
      <c r="C68" s="26"/>
      <c r="D68" s="26"/>
      <c r="E68" s="26"/>
      <c r="F68" s="26"/>
      <c r="G68" s="23"/>
      <c r="H68" s="23"/>
      <c r="I68" s="23"/>
      <c r="J68" s="23">
        <f t="shared" si="5"/>
        <v>0</v>
      </c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</row>
    <row r="69" ht="28.8" spans="1:23">
      <c r="A69" s="24">
        <v>5</v>
      </c>
      <c r="B69" s="29" t="s">
        <v>56</v>
      </c>
      <c r="C69" s="26" t="s">
        <v>47</v>
      </c>
      <c r="D69" s="26">
        <v>2.2</v>
      </c>
      <c r="E69" s="26"/>
      <c r="F69" s="26">
        <v>0</v>
      </c>
      <c r="G69" s="23">
        <v>1500000</v>
      </c>
      <c r="H69" s="26">
        <f>D69*G69</f>
        <v>3300000</v>
      </c>
      <c r="I69" s="26">
        <f>H69</f>
        <v>3300000</v>
      </c>
      <c r="J69" s="23">
        <f t="shared" si="5"/>
        <v>0.385514018691589</v>
      </c>
      <c r="K69" s="37"/>
      <c r="L69" s="37"/>
      <c r="M69" s="37"/>
      <c r="N69" s="37"/>
      <c r="O69" s="39">
        <f>$J$69/4</f>
        <v>0.0963785046728972</v>
      </c>
      <c r="P69" s="39">
        <f t="shared" ref="P69:R69" si="10">$J$69/4</f>
        <v>0.0963785046728972</v>
      </c>
      <c r="Q69" s="39">
        <f t="shared" si="10"/>
        <v>0.0963785046728972</v>
      </c>
      <c r="R69" s="39">
        <f t="shared" si="10"/>
        <v>0.0963785046728972</v>
      </c>
      <c r="S69" s="37"/>
      <c r="T69" s="37"/>
      <c r="U69" s="37"/>
      <c r="V69" s="37"/>
      <c r="W69" s="37"/>
    </row>
    <row r="70" hidden="1" spans="1:23">
      <c r="A70" s="24"/>
      <c r="B70" s="28"/>
      <c r="C70" s="26"/>
      <c r="D70" s="26"/>
      <c r="E70" s="26"/>
      <c r="F70" s="26"/>
      <c r="G70" s="23"/>
      <c r="H70" s="23"/>
      <c r="I70" s="23"/>
      <c r="J70" s="23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</row>
    <row r="71" hidden="1" spans="1:23">
      <c r="A71" s="24"/>
      <c r="B71" s="28"/>
      <c r="C71" s="26"/>
      <c r="D71" s="26"/>
      <c r="E71" s="22" t="s">
        <v>57</v>
      </c>
      <c r="F71" s="22">
        <v>0</v>
      </c>
      <c r="G71" s="40"/>
      <c r="H71" s="22">
        <f>SUM(H57:H70)</f>
        <v>80545250</v>
      </c>
      <c r="I71" s="22">
        <f>SUM(I57:I70)</f>
        <v>80545250</v>
      </c>
      <c r="J71" s="38">
        <f>SUM(J57:J70)</f>
        <v>9.40949182242991</v>
      </c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</row>
    <row r="72" hidden="1" spans="1:23">
      <c r="A72" s="24"/>
      <c r="B72" s="25"/>
      <c r="C72" s="26"/>
      <c r="D72" s="26"/>
      <c r="E72" s="26"/>
      <c r="F72" s="26"/>
      <c r="G72" s="23"/>
      <c r="H72" s="23"/>
      <c r="I72" s="23"/>
      <c r="J72" s="23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</row>
    <row r="73" spans="1:23">
      <c r="A73" s="20" t="s">
        <v>58</v>
      </c>
      <c r="B73" s="21" t="s">
        <v>59</v>
      </c>
      <c r="C73" s="22"/>
      <c r="D73" s="22"/>
      <c r="E73" s="22"/>
      <c r="F73" s="22"/>
      <c r="G73" s="23"/>
      <c r="H73" s="23"/>
      <c r="I73" s="23"/>
      <c r="J73" s="23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</row>
    <row r="74" ht="28.8" spans="1:23">
      <c r="A74" s="24">
        <v>1</v>
      </c>
      <c r="B74" s="27" t="s">
        <v>60</v>
      </c>
      <c r="C74" s="26" t="s">
        <v>47</v>
      </c>
      <c r="D74" s="26">
        <v>82.83</v>
      </c>
      <c r="E74" s="26"/>
      <c r="F74" s="26">
        <v>0</v>
      </c>
      <c r="G74" s="23">
        <v>525000</v>
      </c>
      <c r="H74" s="26">
        <f>D74*G74</f>
        <v>43485750</v>
      </c>
      <c r="I74" s="26">
        <f>H74</f>
        <v>43485750</v>
      </c>
      <c r="J74" s="23">
        <f>I74/$I$315*100</f>
        <v>5.08011098130841</v>
      </c>
      <c r="K74" s="37"/>
      <c r="L74" s="39">
        <f>$J$74/4</f>
        <v>1.2700277453271</v>
      </c>
      <c r="M74" s="39">
        <f t="shared" ref="M74:O74" si="11">$J$74/4</f>
        <v>1.2700277453271</v>
      </c>
      <c r="N74" s="39">
        <f t="shared" si="11"/>
        <v>1.2700277453271</v>
      </c>
      <c r="O74" s="39">
        <f t="shared" si="11"/>
        <v>1.2700277453271</v>
      </c>
      <c r="P74" s="37"/>
      <c r="Q74" s="37"/>
      <c r="R74" s="37"/>
      <c r="S74" s="37"/>
      <c r="T74" s="37"/>
      <c r="U74" s="37"/>
      <c r="V74" s="37"/>
      <c r="W74" s="37"/>
    </row>
    <row r="75" hidden="1" spans="1:23">
      <c r="A75" s="24"/>
      <c r="B75" s="27"/>
      <c r="C75" s="26"/>
      <c r="D75" s="26"/>
      <c r="E75" s="26"/>
      <c r="F75" s="26"/>
      <c r="G75" s="23"/>
      <c r="H75" s="23"/>
      <c r="I75" s="23"/>
      <c r="J75" s="23">
        <f>I75/$I$315*100</f>
        <v>0</v>
      </c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</row>
    <row r="76" spans="1:23">
      <c r="A76" s="24">
        <v>2</v>
      </c>
      <c r="B76" s="27" t="s">
        <v>61</v>
      </c>
      <c r="C76" s="26" t="s">
        <v>47</v>
      </c>
      <c r="D76" s="26">
        <v>165.66</v>
      </c>
      <c r="E76" s="26"/>
      <c r="F76" s="26">
        <v>0</v>
      </c>
      <c r="G76" s="23">
        <v>120000</v>
      </c>
      <c r="H76" s="26">
        <f>D76*G76</f>
        <v>19879200</v>
      </c>
      <c r="I76" s="26">
        <f>H76</f>
        <v>19879200</v>
      </c>
      <c r="J76" s="23">
        <f>I76/$I$315*100</f>
        <v>2.32233644859813</v>
      </c>
      <c r="K76" s="37"/>
      <c r="L76" s="37"/>
      <c r="M76" s="39">
        <f>$J$76/3</f>
        <v>0.77411214953271</v>
      </c>
      <c r="N76" s="39">
        <f t="shared" ref="N76:O76" si="12">$J$76/3</f>
        <v>0.77411214953271</v>
      </c>
      <c r="O76" s="39">
        <f t="shared" si="12"/>
        <v>0.77411214953271</v>
      </c>
      <c r="P76" s="37"/>
      <c r="Q76" s="37"/>
      <c r="R76" s="37"/>
      <c r="S76" s="37"/>
      <c r="T76" s="37"/>
      <c r="U76" s="37"/>
      <c r="V76" s="37"/>
      <c r="W76" s="37"/>
    </row>
    <row r="77" hidden="1" spans="1:23">
      <c r="A77" s="24"/>
      <c r="B77" s="27"/>
      <c r="C77" s="26"/>
      <c r="D77" s="26"/>
      <c r="E77" s="26"/>
      <c r="F77" s="26"/>
      <c r="G77" s="23"/>
      <c r="H77" s="23"/>
      <c r="I77" s="23"/>
      <c r="J77" s="23">
        <f>I77/$I$315*100</f>
        <v>0</v>
      </c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</row>
    <row r="78" ht="43.2" spans="1:23">
      <c r="A78" s="24">
        <v>3</v>
      </c>
      <c r="B78" s="27" t="s">
        <v>62</v>
      </c>
      <c r="C78" s="26" t="s">
        <v>63</v>
      </c>
      <c r="D78" s="26">
        <v>1</v>
      </c>
      <c r="E78" s="26"/>
      <c r="F78" s="26">
        <v>0</v>
      </c>
      <c r="G78" s="23">
        <v>58000000</v>
      </c>
      <c r="H78" s="26">
        <f>D78*G78</f>
        <v>58000000</v>
      </c>
      <c r="I78" s="26">
        <f>H78</f>
        <v>58000000</v>
      </c>
      <c r="J78" s="23">
        <f>I78/$I$315*100</f>
        <v>6.77570093457944</v>
      </c>
      <c r="K78" s="37"/>
      <c r="L78" s="37"/>
      <c r="M78" s="37"/>
      <c r="N78" s="39">
        <f>$J$78/8</f>
        <v>0.84696261682243</v>
      </c>
      <c r="O78" s="39">
        <f t="shared" ref="O78:U78" si="13">$J$78/8</f>
        <v>0.84696261682243</v>
      </c>
      <c r="P78" s="39">
        <f t="shared" si="13"/>
        <v>0.84696261682243</v>
      </c>
      <c r="Q78" s="39">
        <f t="shared" si="13"/>
        <v>0.84696261682243</v>
      </c>
      <c r="R78" s="39">
        <f t="shared" si="13"/>
        <v>0.84696261682243</v>
      </c>
      <c r="S78" s="39">
        <f t="shared" si="13"/>
        <v>0.84696261682243</v>
      </c>
      <c r="T78" s="39">
        <f t="shared" si="13"/>
        <v>0.84696261682243</v>
      </c>
      <c r="U78" s="39">
        <f t="shared" si="13"/>
        <v>0.84696261682243</v>
      </c>
      <c r="V78" s="37"/>
      <c r="W78" s="37"/>
    </row>
    <row r="79" hidden="1" spans="1:23">
      <c r="A79" s="24"/>
      <c r="B79" s="27"/>
      <c r="C79" s="26"/>
      <c r="D79" s="26"/>
      <c r="E79" s="26"/>
      <c r="F79" s="26"/>
      <c r="G79" s="23"/>
      <c r="H79" s="23"/>
      <c r="I79" s="23"/>
      <c r="J79" s="23"/>
      <c r="K79" s="37"/>
      <c r="L79" s="37"/>
      <c r="M79" s="37"/>
      <c r="N79" s="39"/>
      <c r="O79" s="39"/>
      <c r="P79" s="39"/>
      <c r="Q79" s="39"/>
      <c r="R79" s="39"/>
      <c r="S79" s="39"/>
      <c r="T79" s="39"/>
      <c r="U79" s="39"/>
      <c r="V79" s="37"/>
      <c r="W79" s="37"/>
    </row>
    <row r="80" spans="1:23">
      <c r="A80" s="24">
        <v>4</v>
      </c>
      <c r="B80" s="25" t="s">
        <v>64</v>
      </c>
      <c r="C80" s="26"/>
      <c r="D80" s="26"/>
      <c r="E80" s="26"/>
      <c r="F80" s="26"/>
      <c r="G80" s="23"/>
      <c r="H80" s="23"/>
      <c r="I80" s="23">
        <f>SUM(H81:H82)</f>
        <v>60000000</v>
      </c>
      <c r="J80" s="23">
        <f>I80/$I$315*100</f>
        <v>7.00934579439252</v>
      </c>
      <c r="K80" s="37"/>
      <c r="L80" s="37"/>
      <c r="M80" s="37"/>
      <c r="N80" s="37"/>
      <c r="O80" s="39">
        <f>$J$80/7</f>
        <v>1.00133511348465</v>
      </c>
      <c r="P80" s="39">
        <f t="shared" ref="P80:U80" si="14">$J$80/7</f>
        <v>1.00133511348465</v>
      </c>
      <c r="Q80" s="39">
        <f t="shared" si="14"/>
        <v>1.00133511348465</v>
      </c>
      <c r="R80" s="39">
        <f t="shared" si="14"/>
        <v>1.00133511348465</v>
      </c>
      <c r="S80" s="39">
        <f t="shared" si="14"/>
        <v>1.00133511348465</v>
      </c>
      <c r="T80" s="39">
        <f t="shared" si="14"/>
        <v>1.00133511348465</v>
      </c>
      <c r="U80" s="39">
        <f t="shared" si="14"/>
        <v>1.00133511348465</v>
      </c>
      <c r="V80" s="37"/>
      <c r="W80" s="37"/>
    </row>
    <row r="81" hidden="1" spans="1:23">
      <c r="A81" s="24" t="s">
        <v>45</v>
      </c>
      <c r="B81" s="28" t="s">
        <v>65</v>
      </c>
      <c r="C81" s="26" t="s">
        <v>63</v>
      </c>
      <c r="D81" s="26">
        <v>1</v>
      </c>
      <c r="E81" s="26"/>
      <c r="F81" s="26">
        <v>0</v>
      </c>
      <c r="G81" s="23">
        <v>43000000</v>
      </c>
      <c r="H81" s="26">
        <f t="shared" ref="H81:J82" si="15">D81*G81</f>
        <v>43000000</v>
      </c>
      <c r="I81" s="26">
        <f t="shared" si="15"/>
        <v>0</v>
      </c>
      <c r="J81" s="36">
        <f t="shared" si="15"/>
        <v>0</v>
      </c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</row>
    <row r="82" ht="28.8" hidden="1" spans="1:23">
      <c r="A82" s="24" t="s">
        <v>48</v>
      </c>
      <c r="B82" s="29" t="s">
        <v>66</v>
      </c>
      <c r="C82" s="26" t="s">
        <v>63</v>
      </c>
      <c r="D82" s="26">
        <v>1</v>
      </c>
      <c r="E82" s="26"/>
      <c r="F82" s="26">
        <v>0</v>
      </c>
      <c r="G82" s="23">
        <v>17000000</v>
      </c>
      <c r="H82" s="26">
        <f t="shared" si="15"/>
        <v>17000000</v>
      </c>
      <c r="I82" s="26">
        <f t="shared" si="15"/>
        <v>0</v>
      </c>
      <c r="J82" s="36">
        <f t="shared" si="15"/>
        <v>0</v>
      </c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</row>
    <row r="83" hidden="1" spans="1:23">
      <c r="A83" s="24"/>
      <c r="B83" s="29"/>
      <c r="C83" s="26"/>
      <c r="D83" s="26"/>
      <c r="E83" s="26"/>
      <c r="F83" s="26"/>
      <c r="G83" s="23"/>
      <c r="H83" s="23"/>
      <c r="I83" s="23"/>
      <c r="J83" s="23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</row>
    <row r="84" spans="1:23">
      <c r="A84" s="24">
        <v>5</v>
      </c>
      <c r="B84" s="25" t="s">
        <v>67</v>
      </c>
      <c r="C84" s="26" t="s">
        <v>47</v>
      </c>
      <c r="D84" s="26">
        <v>71.25</v>
      </c>
      <c r="E84" s="26"/>
      <c r="F84" s="26">
        <v>0</v>
      </c>
      <c r="G84" s="23">
        <v>65000</v>
      </c>
      <c r="H84" s="26">
        <f>D84*G84</f>
        <v>4631250</v>
      </c>
      <c r="I84" s="26">
        <f>H84</f>
        <v>4631250</v>
      </c>
      <c r="J84" s="23">
        <f t="shared" ref="J84:J90" si="16">I84/$I$315*100</f>
        <v>0.541033878504673</v>
      </c>
      <c r="K84" s="37"/>
      <c r="L84" s="37"/>
      <c r="M84" s="37"/>
      <c r="N84" s="37"/>
      <c r="O84" s="37"/>
      <c r="P84" s="37"/>
      <c r="Q84" s="37"/>
      <c r="R84" s="37"/>
      <c r="S84" s="37"/>
      <c r="T84" s="39">
        <f>$J$84/3</f>
        <v>0.180344626168224</v>
      </c>
      <c r="U84" s="39">
        <f t="shared" ref="U84:V84" si="17">$J$84/3</f>
        <v>0.180344626168224</v>
      </c>
      <c r="V84" s="39">
        <f t="shared" si="17"/>
        <v>0.180344626168224</v>
      </c>
      <c r="W84" s="37"/>
    </row>
    <row r="85" hidden="1" spans="1:23">
      <c r="A85" s="24"/>
      <c r="B85" s="25"/>
      <c r="C85" s="26"/>
      <c r="D85" s="26"/>
      <c r="E85" s="26"/>
      <c r="F85" s="26"/>
      <c r="G85" s="23"/>
      <c r="H85" s="23"/>
      <c r="I85" s="23"/>
      <c r="J85" s="23">
        <f t="shared" si="16"/>
        <v>0</v>
      </c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</row>
    <row r="86" ht="28.8" spans="1:23">
      <c r="A86" s="24">
        <v>6</v>
      </c>
      <c r="B86" s="27" t="s">
        <v>68</v>
      </c>
      <c r="C86" s="26"/>
      <c r="D86" s="26"/>
      <c r="E86" s="26"/>
      <c r="F86" s="26"/>
      <c r="G86" s="23"/>
      <c r="H86" s="23"/>
      <c r="I86" s="23">
        <f>SUM(H87:H88)</f>
        <v>37886625</v>
      </c>
      <c r="J86" s="23">
        <f t="shared" si="16"/>
        <v>4.42600759345794</v>
      </c>
      <c r="K86" s="37"/>
      <c r="L86" s="37"/>
      <c r="M86" s="37"/>
      <c r="N86" s="37"/>
      <c r="O86" s="39">
        <f>$J$86/4</f>
        <v>1.10650189836449</v>
      </c>
      <c r="P86" s="39">
        <f t="shared" ref="P86:R86" si="18">$J$86/4</f>
        <v>1.10650189836449</v>
      </c>
      <c r="Q86" s="39">
        <f t="shared" si="18"/>
        <v>1.10650189836449</v>
      </c>
      <c r="R86" s="39">
        <f t="shared" si="18"/>
        <v>1.10650189836449</v>
      </c>
      <c r="S86" s="37"/>
      <c r="T86" s="37"/>
      <c r="U86" s="37"/>
      <c r="V86" s="37"/>
      <c r="W86" s="37"/>
    </row>
    <row r="87" hidden="1" spans="1:23">
      <c r="A87" s="24" t="s">
        <v>45</v>
      </c>
      <c r="B87" s="28" t="s">
        <v>69</v>
      </c>
      <c r="C87" s="26" t="s">
        <v>47</v>
      </c>
      <c r="D87" s="26">
        <v>36.0825</v>
      </c>
      <c r="E87" s="26"/>
      <c r="F87" s="26">
        <v>0</v>
      </c>
      <c r="G87" s="23">
        <v>525000</v>
      </c>
      <c r="H87" s="26">
        <f t="shared" ref="H87:I88" si="19">D87*G87</f>
        <v>18943312.5</v>
      </c>
      <c r="I87" s="26">
        <f t="shared" si="19"/>
        <v>0</v>
      </c>
      <c r="J87" s="23">
        <f t="shared" si="16"/>
        <v>0</v>
      </c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</row>
    <row r="88" hidden="1" spans="1:23">
      <c r="A88" s="24" t="s">
        <v>48</v>
      </c>
      <c r="B88" s="28" t="s">
        <v>70</v>
      </c>
      <c r="C88" s="26" t="s">
        <v>47</v>
      </c>
      <c r="D88" s="26">
        <v>36.0825</v>
      </c>
      <c r="E88" s="26"/>
      <c r="F88" s="26">
        <v>0</v>
      </c>
      <c r="G88" s="23">
        <v>525000</v>
      </c>
      <c r="H88" s="26">
        <f t="shared" si="19"/>
        <v>18943312.5</v>
      </c>
      <c r="I88" s="26">
        <f t="shared" si="19"/>
        <v>0</v>
      </c>
      <c r="J88" s="23">
        <f t="shared" si="16"/>
        <v>0</v>
      </c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</row>
    <row r="89" hidden="1" spans="1:23">
      <c r="A89" s="24"/>
      <c r="B89" s="28"/>
      <c r="C89" s="26"/>
      <c r="D89" s="26"/>
      <c r="E89" s="26"/>
      <c r="F89" s="26"/>
      <c r="G89" s="23"/>
      <c r="H89" s="26"/>
      <c r="I89" s="26"/>
      <c r="J89" s="23">
        <f t="shared" si="16"/>
        <v>0</v>
      </c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</row>
    <row r="90" ht="28.8" spans="1:23">
      <c r="A90" s="24">
        <v>7</v>
      </c>
      <c r="B90" s="29" t="s">
        <v>71</v>
      </c>
      <c r="C90" s="26" t="s">
        <v>47</v>
      </c>
      <c r="D90" s="26">
        <v>1.71</v>
      </c>
      <c r="E90" s="26"/>
      <c r="F90" s="26">
        <v>0</v>
      </c>
      <c r="G90" s="23">
        <v>250000</v>
      </c>
      <c r="H90" s="26">
        <f>D90*G90</f>
        <v>427500</v>
      </c>
      <c r="I90" s="26">
        <f>H90</f>
        <v>427500</v>
      </c>
      <c r="J90" s="23">
        <f t="shared" si="16"/>
        <v>0.0499415887850467</v>
      </c>
      <c r="K90" s="37"/>
      <c r="L90" s="37"/>
      <c r="M90" s="37"/>
      <c r="N90" s="37"/>
      <c r="O90" s="37"/>
      <c r="P90" s="39">
        <f>J90/1</f>
        <v>0.0499415887850467</v>
      </c>
      <c r="Q90" s="37"/>
      <c r="R90" s="37"/>
      <c r="S90" s="37"/>
      <c r="T90" s="37"/>
      <c r="U90" s="37"/>
      <c r="V90" s="37"/>
      <c r="W90" s="37"/>
    </row>
    <row r="91" hidden="1" spans="1:23">
      <c r="A91" s="24"/>
      <c r="B91" s="28"/>
      <c r="C91" s="26"/>
      <c r="D91" s="26"/>
      <c r="E91" s="26"/>
      <c r="F91" s="26"/>
      <c r="G91" s="23"/>
      <c r="H91" s="23"/>
      <c r="I91" s="23"/>
      <c r="J91" s="23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</row>
    <row r="92" hidden="1" spans="1:23">
      <c r="A92" s="24"/>
      <c r="B92" s="28"/>
      <c r="C92" s="26"/>
      <c r="D92" s="26"/>
      <c r="E92" s="22" t="s">
        <v>72</v>
      </c>
      <c r="F92" s="22">
        <v>0</v>
      </c>
      <c r="G92" s="40"/>
      <c r="H92" s="22">
        <f>SUM(H74:H91)</f>
        <v>224310325</v>
      </c>
      <c r="I92" s="22">
        <f>SUM(I74:I91)</f>
        <v>224310325</v>
      </c>
      <c r="J92" s="38">
        <f>SUM(J74:J91)</f>
        <v>26.2044772196262</v>
      </c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</row>
    <row r="93" hidden="1" spans="1:23">
      <c r="A93" s="24"/>
      <c r="B93" s="25"/>
      <c r="C93" s="26"/>
      <c r="D93" s="26"/>
      <c r="E93" s="26"/>
      <c r="F93" s="26"/>
      <c r="G93" s="23"/>
      <c r="H93" s="23"/>
      <c r="I93" s="23"/>
      <c r="J93" s="23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</row>
    <row r="94" spans="1:23">
      <c r="A94" s="20" t="s">
        <v>73</v>
      </c>
      <c r="B94" s="21" t="s">
        <v>74</v>
      </c>
      <c r="C94" s="22"/>
      <c r="D94" s="22"/>
      <c r="E94" s="22"/>
      <c r="F94" s="22"/>
      <c r="G94" s="23"/>
      <c r="H94" s="23"/>
      <c r="I94" s="23"/>
      <c r="J94" s="23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</row>
    <row r="95" ht="28.8" spans="1:23">
      <c r="A95" s="24">
        <v>1</v>
      </c>
      <c r="B95" s="27" t="s">
        <v>75</v>
      </c>
      <c r="C95" s="26"/>
      <c r="D95" s="26"/>
      <c r="E95" s="26"/>
      <c r="F95" s="26"/>
      <c r="G95" s="23"/>
      <c r="H95" s="23"/>
      <c r="I95" s="23">
        <f>SUM(H96:H97)</f>
        <v>13987500</v>
      </c>
      <c r="J95" s="23">
        <f t="shared" ref="J95:J111" si="20">I95/$I$315*100</f>
        <v>1.63405373831776</v>
      </c>
      <c r="K95" s="37"/>
      <c r="L95" s="37"/>
      <c r="M95" s="37"/>
      <c r="N95" s="37"/>
      <c r="O95" s="39">
        <f>$J$95/5</f>
        <v>0.326810747663551</v>
      </c>
      <c r="P95" s="39">
        <f t="shared" ref="P95:S95" si="21">$J$95/5</f>
        <v>0.326810747663551</v>
      </c>
      <c r="Q95" s="39">
        <f t="shared" si="21"/>
        <v>0.326810747663551</v>
      </c>
      <c r="R95" s="39">
        <f t="shared" si="21"/>
        <v>0.326810747663551</v>
      </c>
      <c r="S95" s="39">
        <f t="shared" si="21"/>
        <v>0.326810747663551</v>
      </c>
      <c r="T95" s="37"/>
      <c r="U95" s="37"/>
      <c r="V95" s="37"/>
      <c r="W95" s="37"/>
    </row>
    <row r="96" hidden="1" spans="1:23">
      <c r="A96" s="24" t="s">
        <v>45</v>
      </c>
      <c r="B96" s="28" t="s">
        <v>76</v>
      </c>
      <c r="C96" s="26" t="s">
        <v>47</v>
      </c>
      <c r="D96" s="26">
        <v>78.3</v>
      </c>
      <c r="E96" s="26"/>
      <c r="F96" s="26">
        <v>0</v>
      </c>
      <c r="G96" s="23">
        <v>150000</v>
      </c>
      <c r="H96" s="26">
        <f t="shared" ref="H96:I97" si="22">D96*G96</f>
        <v>11745000</v>
      </c>
      <c r="I96" s="26">
        <f t="shared" si="22"/>
        <v>0</v>
      </c>
      <c r="J96" s="23">
        <f t="shared" si="20"/>
        <v>0</v>
      </c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</row>
    <row r="97" hidden="1" spans="1:23">
      <c r="A97" s="24" t="s">
        <v>48</v>
      </c>
      <c r="B97" s="28" t="s">
        <v>77</v>
      </c>
      <c r="C97" s="26" t="s">
        <v>55</v>
      </c>
      <c r="D97" s="26">
        <v>14.95</v>
      </c>
      <c r="E97" s="26"/>
      <c r="F97" s="26">
        <v>0</v>
      </c>
      <c r="G97" s="23">
        <v>150000</v>
      </c>
      <c r="H97" s="26">
        <f t="shared" si="22"/>
        <v>2242500</v>
      </c>
      <c r="I97" s="26">
        <f t="shared" si="22"/>
        <v>0</v>
      </c>
      <c r="J97" s="23">
        <f t="shared" si="20"/>
        <v>0</v>
      </c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</row>
    <row r="98" hidden="1" spans="1:23">
      <c r="A98" s="24"/>
      <c r="B98" s="28"/>
      <c r="C98" s="26"/>
      <c r="D98" s="26"/>
      <c r="E98" s="26"/>
      <c r="F98" s="26"/>
      <c r="G98" s="23"/>
      <c r="H98" s="23"/>
      <c r="I98" s="23"/>
      <c r="J98" s="23">
        <f t="shared" si="20"/>
        <v>0</v>
      </c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</row>
    <row r="99" ht="43.2" spans="1:23">
      <c r="A99" s="24">
        <v>2</v>
      </c>
      <c r="B99" s="27" t="s">
        <v>78</v>
      </c>
      <c r="C99" s="26" t="s">
        <v>47</v>
      </c>
      <c r="D99" s="26">
        <v>14</v>
      </c>
      <c r="E99" s="26"/>
      <c r="F99" s="26">
        <v>0</v>
      </c>
      <c r="G99" s="23">
        <v>225000</v>
      </c>
      <c r="H99" s="26">
        <f>D99*G99</f>
        <v>3150000</v>
      </c>
      <c r="I99" s="26">
        <f>H99</f>
        <v>3150000</v>
      </c>
      <c r="J99" s="23">
        <f t="shared" si="20"/>
        <v>0.367990654205607</v>
      </c>
      <c r="K99" s="37"/>
      <c r="L99" s="37"/>
      <c r="M99" s="37"/>
      <c r="N99" s="37"/>
      <c r="O99" s="37"/>
      <c r="P99" s="37"/>
      <c r="Q99" s="37"/>
      <c r="R99" s="39">
        <f>$J$99/3</f>
        <v>0.122663551401869</v>
      </c>
      <c r="S99" s="39">
        <f t="shared" ref="S99:T99" si="23">$J$99/3</f>
        <v>0.122663551401869</v>
      </c>
      <c r="T99" s="39">
        <f t="shared" si="23"/>
        <v>0.122663551401869</v>
      </c>
      <c r="U99" s="37"/>
      <c r="V99" s="37"/>
      <c r="W99" s="37"/>
    </row>
    <row r="100" hidden="1" spans="1:23">
      <c r="A100" s="24"/>
      <c r="B100" s="27"/>
      <c r="C100" s="26"/>
      <c r="D100" s="26"/>
      <c r="E100" s="26"/>
      <c r="F100" s="26"/>
      <c r="G100" s="23"/>
      <c r="H100" s="23"/>
      <c r="I100" s="23"/>
      <c r="J100" s="23">
        <f t="shared" si="20"/>
        <v>0</v>
      </c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</row>
    <row r="101" spans="1:23">
      <c r="A101" s="24">
        <v>3</v>
      </c>
      <c r="B101" s="27" t="s">
        <v>79</v>
      </c>
      <c r="C101" s="26"/>
      <c r="D101" s="26"/>
      <c r="E101" s="26"/>
      <c r="F101" s="26"/>
      <c r="G101" s="23"/>
      <c r="H101" s="23"/>
      <c r="I101" s="23">
        <f>SUM(H102:H104)</f>
        <v>2105000</v>
      </c>
      <c r="J101" s="23">
        <f t="shared" si="20"/>
        <v>0.245911214953271</v>
      </c>
      <c r="K101" s="37"/>
      <c r="L101" s="37"/>
      <c r="M101" s="37"/>
      <c r="N101" s="37"/>
      <c r="O101" s="39">
        <f>$J$101/5</f>
        <v>0.0491822429906542</v>
      </c>
      <c r="P101" s="39">
        <f t="shared" ref="P101:S101" si="24">$J$101/5</f>
        <v>0.0491822429906542</v>
      </c>
      <c r="Q101" s="39">
        <f t="shared" si="24"/>
        <v>0.0491822429906542</v>
      </c>
      <c r="R101" s="39">
        <f t="shared" si="24"/>
        <v>0.0491822429906542</v>
      </c>
      <c r="S101" s="39">
        <f t="shared" si="24"/>
        <v>0.0491822429906542</v>
      </c>
      <c r="T101" s="37"/>
      <c r="U101" s="37"/>
      <c r="V101" s="37"/>
      <c r="W101" s="37"/>
    </row>
    <row r="102" hidden="1" spans="1:23">
      <c r="A102" s="24" t="s">
        <v>45</v>
      </c>
      <c r="B102" s="28" t="s">
        <v>80</v>
      </c>
      <c r="C102" s="26" t="s">
        <v>55</v>
      </c>
      <c r="D102" s="26">
        <v>15.8</v>
      </c>
      <c r="E102" s="26"/>
      <c r="F102" s="26">
        <v>0</v>
      </c>
      <c r="G102" s="23">
        <v>50000</v>
      </c>
      <c r="H102" s="26">
        <f t="shared" ref="H102:I104" si="25">D102*G102</f>
        <v>790000</v>
      </c>
      <c r="I102" s="26">
        <f t="shared" si="25"/>
        <v>0</v>
      </c>
      <c r="J102" s="23">
        <f t="shared" si="20"/>
        <v>0</v>
      </c>
      <c r="K102" s="37"/>
      <c r="L102" s="37"/>
      <c r="M102" s="37"/>
      <c r="N102" s="37"/>
      <c r="O102" s="39"/>
      <c r="P102" s="39"/>
      <c r="Q102" s="39"/>
      <c r="R102" s="39"/>
      <c r="S102" s="39"/>
      <c r="T102" s="37"/>
      <c r="U102" s="37"/>
      <c r="V102" s="37"/>
      <c r="W102" s="37"/>
    </row>
    <row r="103" hidden="1" spans="1:23">
      <c r="A103" s="24" t="s">
        <v>48</v>
      </c>
      <c r="B103" s="29" t="s">
        <v>69</v>
      </c>
      <c r="C103" s="26" t="s">
        <v>55</v>
      </c>
      <c r="D103" s="26">
        <v>13.15</v>
      </c>
      <c r="E103" s="26"/>
      <c r="F103" s="26">
        <v>0</v>
      </c>
      <c r="G103" s="23">
        <v>50000</v>
      </c>
      <c r="H103" s="26">
        <f t="shared" si="25"/>
        <v>657500</v>
      </c>
      <c r="I103" s="26">
        <f t="shared" si="25"/>
        <v>0</v>
      </c>
      <c r="J103" s="23">
        <f t="shared" si="20"/>
        <v>0</v>
      </c>
      <c r="K103" s="37"/>
      <c r="L103" s="37"/>
      <c r="M103" s="37"/>
      <c r="N103" s="37"/>
      <c r="O103" s="39"/>
      <c r="P103" s="39"/>
      <c r="Q103" s="39"/>
      <c r="R103" s="39"/>
      <c r="S103" s="39"/>
      <c r="T103" s="37"/>
      <c r="U103" s="37"/>
      <c r="V103" s="37"/>
      <c r="W103" s="37"/>
    </row>
    <row r="104" hidden="1" spans="1:23">
      <c r="A104" s="24" t="s">
        <v>81</v>
      </c>
      <c r="B104" s="29" t="s">
        <v>70</v>
      </c>
      <c r="C104" s="26" t="s">
        <v>55</v>
      </c>
      <c r="D104" s="26">
        <v>13.15</v>
      </c>
      <c r="E104" s="26"/>
      <c r="F104" s="26">
        <v>0</v>
      </c>
      <c r="G104" s="23">
        <v>50000</v>
      </c>
      <c r="H104" s="26">
        <f t="shared" si="25"/>
        <v>657500</v>
      </c>
      <c r="I104" s="26">
        <f t="shared" si="25"/>
        <v>0</v>
      </c>
      <c r="J104" s="23">
        <f t="shared" si="20"/>
        <v>0</v>
      </c>
      <c r="K104" s="37"/>
      <c r="L104" s="37"/>
      <c r="M104" s="37"/>
      <c r="N104" s="37"/>
      <c r="O104" s="39"/>
      <c r="P104" s="39"/>
      <c r="Q104" s="39"/>
      <c r="R104" s="39"/>
      <c r="S104" s="39"/>
      <c r="T104" s="37"/>
      <c r="U104" s="37"/>
      <c r="V104" s="37"/>
      <c r="W104" s="37"/>
    </row>
    <row r="105" hidden="1" spans="1:23">
      <c r="A105" s="24"/>
      <c r="B105" s="29"/>
      <c r="C105" s="26"/>
      <c r="D105" s="26"/>
      <c r="E105" s="26"/>
      <c r="F105" s="26"/>
      <c r="G105" s="23"/>
      <c r="H105" s="23"/>
      <c r="I105" s="23"/>
      <c r="J105" s="23">
        <f t="shared" si="20"/>
        <v>0</v>
      </c>
      <c r="K105" s="37"/>
      <c r="L105" s="37"/>
      <c r="M105" s="37"/>
      <c r="N105" s="37"/>
      <c r="O105" s="39"/>
      <c r="P105" s="39"/>
      <c r="Q105" s="39"/>
      <c r="R105" s="39"/>
      <c r="S105" s="39"/>
      <c r="T105" s="37"/>
      <c r="U105" s="37"/>
      <c r="V105" s="37"/>
      <c r="W105" s="37"/>
    </row>
    <row r="106" spans="1:23">
      <c r="A106" s="24">
        <v>4</v>
      </c>
      <c r="B106" s="25" t="s">
        <v>82</v>
      </c>
      <c r="C106" s="26"/>
      <c r="D106" s="26"/>
      <c r="E106" s="26"/>
      <c r="F106" s="26"/>
      <c r="G106" s="23"/>
      <c r="H106" s="23"/>
      <c r="I106" s="23">
        <f>SUM(H107:H110)</f>
        <v>2362500</v>
      </c>
      <c r="J106" s="23">
        <f t="shared" si="20"/>
        <v>0.275992990654206</v>
      </c>
      <c r="K106" s="37"/>
      <c r="L106" s="37"/>
      <c r="M106" s="37"/>
      <c r="N106" s="37"/>
      <c r="O106" s="39">
        <f>$J$106/5</f>
        <v>0.0551985981308411</v>
      </c>
      <c r="P106" s="39">
        <f t="shared" ref="P106:S106" si="26">$J$106/5</f>
        <v>0.0551985981308411</v>
      </c>
      <c r="Q106" s="39">
        <f t="shared" si="26"/>
        <v>0.0551985981308411</v>
      </c>
      <c r="R106" s="39">
        <f t="shared" si="26"/>
        <v>0.0551985981308411</v>
      </c>
      <c r="S106" s="39">
        <f t="shared" si="26"/>
        <v>0.0551985981308411</v>
      </c>
      <c r="T106" s="37"/>
      <c r="U106" s="37"/>
      <c r="V106" s="37"/>
      <c r="W106" s="37"/>
    </row>
    <row r="107" hidden="1" spans="1:23">
      <c r="A107" s="24" t="s">
        <v>45</v>
      </c>
      <c r="B107" s="28" t="s">
        <v>83</v>
      </c>
      <c r="C107" s="26" t="s">
        <v>55</v>
      </c>
      <c r="D107" s="26">
        <v>9.85</v>
      </c>
      <c r="E107" s="26"/>
      <c r="F107" s="26">
        <v>0</v>
      </c>
      <c r="G107" s="23">
        <v>150000</v>
      </c>
      <c r="H107" s="26">
        <f t="shared" ref="H107:I109" si="27">D107*G107</f>
        <v>1477500</v>
      </c>
      <c r="I107" s="26">
        <f t="shared" si="27"/>
        <v>0</v>
      </c>
      <c r="J107" s="23">
        <f t="shared" si="20"/>
        <v>0</v>
      </c>
      <c r="K107" s="37"/>
      <c r="L107" s="37"/>
      <c r="M107" s="37"/>
      <c r="N107" s="37"/>
      <c r="O107" s="39"/>
      <c r="P107" s="39"/>
      <c r="Q107" s="39"/>
      <c r="R107" s="39"/>
      <c r="S107" s="39"/>
      <c r="T107" s="37"/>
      <c r="U107" s="37"/>
      <c r="V107" s="37"/>
      <c r="W107" s="37"/>
    </row>
    <row r="108" hidden="1" spans="1:23">
      <c r="A108" s="24" t="s">
        <v>48</v>
      </c>
      <c r="B108" s="28" t="s">
        <v>69</v>
      </c>
      <c r="C108" s="26" t="s">
        <v>55</v>
      </c>
      <c r="D108" s="26">
        <v>2.95</v>
      </c>
      <c r="E108" s="26"/>
      <c r="F108" s="26">
        <v>0</v>
      </c>
      <c r="G108" s="23">
        <v>150000</v>
      </c>
      <c r="H108" s="26">
        <f t="shared" si="27"/>
        <v>442500</v>
      </c>
      <c r="I108" s="26">
        <f t="shared" si="27"/>
        <v>0</v>
      </c>
      <c r="J108" s="23">
        <f t="shared" si="20"/>
        <v>0</v>
      </c>
      <c r="K108" s="37"/>
      <c r="L108" s="37"/>
      <c r="M108" s="37"/>
      <c r="N108" s="37"/>
      <c r="O108" s="39"/>
      <c r="P108" s="39"/>
      <c r="Q108" s="39"/>
      <c r="R108" s="39"/>
      <c r="S108" s="39"/>
      <c r="T108" s="37"/>
      <c r="U108" s="37"/>
      <c r="V108" s="37"/>
      <c r="W108" s="37"/>
    </row>
    <row r="109" hidden="1" spans="1:23">
      <c r="A109" s="24" t="s">
        <v>81</v>
      </c>
      <c r="B109" s="28" t="s">
        <v>70</v>
      </c>
      <c r="C109" s="26" t="s">
        <v>55</v>
      </c>
      <c r="D109" s="26">
        <v>2.95</v>
      </c>
      <c r="E109" s="26"/>
      <c r="F109" s="26">
        <v>0</v>
      </c>
      <c r="G109" s="23">
        <v>150000</v>
      </c>
      <c r="H109" s="26">
        <f t="shared" si="27"/>
        <v>442500</v>
      </c>
      <c r="I109" s="26">
        <f t="shared" si="27"/>
        <v>0</v>
      </c>
      <c r="J109" s="23">
        <f t="shared" si="20"/>
        <v>0</v>
      </c>
      <c r="K109" s="37"/>
      <c r="L109" s="37"/>
      <c r="M109" s="37"/>
      <c r="N109" s="37"/>
      <c r="O109" s="39"/>
      <c r="P109" s="39"/>
      <c r="Q109" s="39"/>
      <c r="R109" s="39"/>
      <c r="S109" s="39"/>
      <c r="T109" s="37"/>
      <c r="U109" s="37"/>
      <c r="V109" s="37"/>
      <c r="W109" s="37"/>
    </row>
    <row r="110" hidden="1" spans="1:23">
      <c r="A110" s="24"/>
      <c r="B110" s="28"/>
      <c r="C110" s="26"/>
      <c r="D110" s="26"/>
      <c r="E110" s="26"/>
      <c r="F110" s="26"/>
      <c r="G110" s="23"/>
      <c r="H110" s="23"/>
      <c r="I110" s="23"/>
      <c r="J110" s="23">
        <f t="shared" si="20"/>
        <v>0</v>
      </c>
      <c r="K110" s="37"/>
      <c r="L110" s="37"/>
      <c r="M110" s="37"/>
      <c r="N110" s="37"/>
      <c r="O110" s="39"/>
      <c r="P110" s="39"/>
      <c r="Q110" s="39"/>
      <c r="R110" s="39"/>
      <c r="S110" s="39"/>
      <c r="T110" s="37"/>
      <c r="U110" s="37"/>
      <c r="V110" s="37"/>
      <c r="W110" s="37"/>
    </row>
    <row r="111" spans="1:23">
      <c r="A111" s="24">
        <v>5</v>
      </c>
      <c r="B111" s="27" t="s">
        <v>84</v>
      </c>
      <c r="C111" s="26" t="s">
        <v>55</v>
      </c>
      <c r="D111" s="26">
        <v>24.35</v>
      </c>
      <c r="E111" s="26"/>
      <c r="F111" s="26">
        <v>0</v>
      </c>
      <c r="G111" s="23">
        <v>200000</v>
      </c>
      <c r="H111" s="26">
        <f>D111*G111</f>
        <v>4870000</v>
      </c>
      <c r="I111" s="26">
        <f>H111</f>
        <v>4870000</v>
      </c>
      <c r="J111" s="23">
        <f t="shared" si="20"/>
        <v>0.56892523364486</v>
      </c>
      <c r="K111" s="37"/>
      <c r="L111" s="37"/>
      <c r="M111" s="37"/>
      <c r="N111" s="37"/>
      <c r="O111" s="39">
        <f>$J$111/5</f>
        <v>0.113785046728972</v>
      </c>
      <c r="P111" s="39">
        <f t="shared" ref="P111:S111" si="28">$J$111/5</f>
        <v>0.113785046728972</v>
      </c>
      <c r="Q111" s="39">
        <f t="shared" si="28"/>
        <v>0.113785046728972</v>
      </c>
      <c r="R111" s="39">
        <f t="shared" si="28"/>
        <v>0.113785046728972</v>
      </c>
      <c r="S111" s="39">
        <f t="shared" si="28"/>
        <v>0.113785046728972</v>
      </c>
      <c r="T111" s="37"/>
      <c r="U111" s="37"/>
      <c r="V111" s="37"/>
      <c r="W111" s="37"/>
    </row>
    <row r="112" hidden="1" spans="1:23">
      <c r="A112" s="24"/>
      <c r="B112" s="27"/>
      <c r="C112" s="26"/>
      <c r="D112" s="26"/>
      <c r="E112" s="26"/>
      <c r="F112" s="26"/>
      <c r="G112" s="23"/>
      <c r="H112" s="23"/>
      <c r="I112" s="23"/>
      <c r="J112" s="23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</row>
    <row r="113" hidden="1" spans="1:23">
      <c r="A113" s="24"/>
      <c r="B113" s="27"/>
      <c r="C113" s="26"/>
      <c r="D113" s="26"/>
      <c r="E113" s="22" t="s">
        <v>85</v>
      </c>
      <c r="F113" s="22">
        <v>0</v>
      </c>
      <c r="G113" s="40"/>
      <c r="H113" s="22">
        <f>SUM(H95:H112)</f>
        <v>26475000</v>
      </c>
      <c r="I113" s="22">
        <f>SUM(I95:I112)</f>
        <v>26475000</v>
      </c>
      <c r="J113" s="38">
        <f>SUM(J95:J112)</f>
        <v>3.0928738317757</v>
      </c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</row>
    <row r="114" hidden="1" spans="1:23">
      <c r="A114" s="24"/>
      <c r="B114" s="25"/>
      <c r="C114" s="26"/>
      <c r="D114" s="26"/>
      <c r="E114" s="26"/>
      <c r="F114" s="26"/>
      <c r="G114" s="23"/>
      <c r="H114" s="23"/>
      <c r="I114" s="23"/>
      <c r="J114" s="23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</row>
    <row r="115" spans="1:23">
      <c r="A115" s="20" t="s">
        <v>86</v>
      </c>
      <c r="B115" s="21" t="s">
        <v>87</v>
      </c>
      <c r="C115" s="22"/>
      <c r="D115" s="22"/>
      <c r="E115" s="22"/>
      <c r="F115" s="22"/>
      <c r="G115" s="23"/>
      <c r="H115" s="23"/>
      <c r="I115" s="23"/>
      <c r="J115" s="23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</row>
    <row r="116" ht="28.8" spans="1:23">
      <c r="A116" s="24">
        <v>1</v>
      </c>
      <c r="B116" s="27" t="s">
        <v>88</v>
      </c>
      <c r="C116" s="26"/>
      <c r="D116" s="26"/>
      <c r="E116" s="26"/>
      <c r="F116" s="26"/>
      <c r="G116" s="23"/>
      <c r="H116" s="23"/>
      <c r="I116" s="23">
        <f>SUM(H117:H118)</f>
        <v>4333500</v>
      </c>
      <c r="J116" s="23">
        <f>I116/$I$315*100</f>
        <v>0.50625</v>
      </c>
      <c r="K116" s="37"/>
      <c r="L116" s="37"/>
      <c r="M116" s="39">
        <f>$J$116/2</f>
        <v>0.253125</v>
      </c>
      <c r="N116" s="39">
        <f>$J$116/2</f>
        <v>0.253125</v>
      </c>
      <c r="O116" s="37"/>
      <c r="P116" s="37"/>
      <c r="Q116" s="37"/>
      <c r="R116" s="37"/>
      <c r="S116" s="37"/>
      <c r="T116" s="37"/>
      <c r="U116" s="37"/>
      <c r="V116" s="37"/>
      <c r="W116" s="37"/>
    </row>
    <row r="117" hidden="1" spans="1:23">
      <c r="A117" s="24" t="s">
        <v>45</v>
      </c>
      <c r="B117" s="28" t="s">
        <v>69</v>
      </c>
      <c r="C117" s="26" t="s">
        <v>47</v>
      </c>
      <c r="D117" s="26">
        <v>9.63</v>
      </c>
      <c r="E117" s="26"/>
      <c r="F117" s="26">
        <v>0</v>
      </c>
      <c r="G117" s="23">
        <v>225000</v>
      </c>
      <c r="H117" s="26">
        <f t="shared" ref="H117:I118" si="29">D117*G117</f>
        <v>2166750</v>
      </c>
      <c r="I117" s="26">
        <f t="shared" si="29"/>
        <v>0</v>
      </c>
      <c r="J117" s="23">
        <f>I117/$I$315*100</f>
        <v>0</v>
      </c>
      <c r="K117" s="37"/>
      <c r="L117" s="37"/>
      <c r="M117" s="39"/>
      <c r="N117" s="39"/>
      <c r="O117" s="37"/>
      <c r="P117" s="37"/>
      <c r="Q117" s="37"/>
      <c r="R117" s="37"/>
      <c r="S117" s="37"/>
      <c r="T117" s="37"/>
      <c r="U117" s="37"/>
      <c r="V117" s="37"/>
      <c r="W117" s="37"/>
    </row>
    <row r="118" hidden="1" spans="1:23">
      <c r="A118" s="24" t="s">
        <v>48</v>
      </c>
      <c r="B118" s="28" t="s">
        <v>70</v>
      </c>
      <c r="C118" s="26" t="s">
        <v>47</v>
      </c>
      <c r="D118" s="26">
        <v>9.63</v>
      </c>
      <c r="E118" s="26"/>
      <c r="F118" s="26">
        <v>0</v>
      </c>
      <c r="G118" s="23">
        <v>225000</v>
      </c>
      <c r="H118" s="26">
        <f t="shared" si="29"/>
        <v>2166750</v>
      </c>
      <c r="I118" s="26">
        <f t="shared" si="29"/>
        <v>0</v>
      </c>
      <c r="J118" s="23">
        <f>I118/$I$315*100</f>
        <v>0</v>
      </c>
      <c r="K118" s="37"/>
      <c r="L118" s="37"/>
      <c r="M118" s="39"/>
      <c r="N118" s="39"/>
      <c r="O118" s="37"/>
      <c r="P118" s="37"/>
      <c r="Q118" s="37"/>
      <c r="R118" s="37"/>
      <c r="S118" s="37"/>
      <c r="T118" s="37"/>
      <c r="U118" s="37"/>
      <c r="V118" s="37"/>
      <c r="W118" s="37"/>
    </row>
    <row r="119" hidden="1" spans="1:23">
      <c r="A119" s="24"/>
      <c r="B119" s="28"/>
      <c r="C119" s="26"/>
      <c r="D119" s="26"/>
      <c r="E119" s="26"/>
      <c r="F119" s="26"/>
      <c r="G119" s="23"/>
      <c r="H119" s="23"/>
      <c r="I119" s="23"/>
      <c r="J119" s="23">
        <f>I119/$I$315*100</f>
        <v>0</v>
      </c>
      <c r="K119" s="37"/>
      <c r="L119" s="37"/>
      <c r="M119" s="39"/>
      <c r="N119" s="39"/>
      <c r="O119" s="37"/>
      <c r="P119" s="37"/>
      <c r="Q119" s="37"/>
      <c r="R119" s="37"/>
      <c r="S119" s="37"/>
      <c r="T119" s="37"/>
      <c r="U119" s="37"/>
      <c r="V119" s="37"/>
      <c r="W119" s="37"/>
    </row>
    <row r="120" spans="1:23">
      <c r="A120" s="24">
        <v>2</v>
      </c>
      <c r="B120" s="27" t="s">
        <v>89</v>
      </c>
      <c r="C120" s="26"/>
      <c r="D120" s="26"/>
      <c r="E120" s="26"/>
      <c r="F120" s="26"/>
      <c r="G120" s="23"/>
      <c r="H120" s="23"/>
      <c r="I120" s="23">
        <f>SUM(H121:H122)</f>
        <v>3156750</v>
      </c>
      <c r="J120" s="23">
        <f>I120/$I$315*100</f>
        <v>0.368779205607477</v>
      </c>
      <c r="K120" s="37"/>
      <c r="L120" s="37"/>
      <c r="M120" s="39">
        <f>$J$120/2</f>
        <v>0.184389602803738</v>
      </c>
      <c r="N120" s="39">
        <f>$J$120/2</f>
        <v>0.184389602803738</v>
      </c>
      <c r="O120" s="37"/>
      <c r="P120" s="37"/>
      <c r="Q120" s="37"/>
      <c r="R120" s="37"/>
      <c r="S120" s="37"/>
      <c r="T120" s="37"/>
      <c r="U120" s="37"/>
      <c r="V120" s="37"/>
      <c r="W120" s="37"/>
    </row>
    <row r="121" hidden="1" spans="1:23">
      <c r="A121" s="24" t="s">
        <v>45</v>
      </c>
      <c r="B121" s="28" t="s">
        <v>69</v>
      </c>
      <c r="C121" s="26" t="s">
        <v>47</v>
      </c>
      <c r="D121" s="26">
        <v>7.015</v>
      </c>
      <c r="E121" s="26"/>
      <c r="F121" s="26">
        <v>0</v>
      </c>
      <c r="G121" s="23">
        <v>225000</v>
      </c>
      <c r="H121" s="26">
        <f t="shared" ref="H121:J122" si="30">D121*G121</f>
        <v>1578375</v>
      </c>
      <c r="I121" s="26">
        <f t="shared" si="30"/>
        <v>0</v>
      </c>
      <c r="J121" s="36">
        <f t="shared" si="30"/>
        <v>0</v>
      </c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</row>
    <row r="122" hidden="1" spans="1:23">
      <c r="A122" s="24" t="s">
        <v>48</v>
      </c>
      <c r="B122" s="28" t="s">
        <v>70</v>
      </c>
      <c r="C122" s="26" t="s">
        <v>47</v>
      </c>
      <c r="D122" s="26">
        <v>7.015</v>
      </c>
      <c r="E122" s="26"/>
      <c r="F122" s="26">
        <v>0</v>
      </c>
      <c r="G122" s="23">
        <v>225000</v>
      </c>
      <c r="H122" s="26">
        <f t="shared" si="30"/>
        <v>1578375</v>
      </c>
      <c r="I122" s="26">
        <f t="shared" si="30"/>
        <v>0</v>
      </c>
      <c r="J122" s="36">
        <f t="shared" si="30"/>
        <v>0</v>
      </c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</row>
    <row r="123" hidden="1" spans="1:23">
      <c r="A123" s="24"/>
      <c r="B123" s="28"/>
      <c r="C123" s="26"/>
      <c r="D123" s="26"/>
      <c r="E123" s="26"/>
      <c r="F123" s="26"/>
      <c r="G123" s="23"/>
      <c r="H123" s="23"/>
      <c r="I123" s="23"/>
      <c r="J123" s="23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</row>
    <row r="124" hidden="1" spans="1:23">
      <c r="A124" s="24"/>
      <c r="B124" s="28"/>
      <c r="C124" s="26"/>
      <c r="D124" s="26"/>
      <c r="E124" s="22" t="s">
        <v>90</v>
      </c>
      <c r="F124" s="22">
        <v>0</v>
      </c>
      <c r="G124" s="40"/>
      <c r="H124" s="22">
        <f>SUM(H116:H123)</f>
        <v>7490250</v>
      </c>
      <c r="I124" s="22">
        <f>SUM(I116:I123)</f>
        <v>7490250</v>
      </c>
      <c r="J124" s="38">
        <f>SUM(J116:J123)</f>
        <v>0.875029205607477</v>
      </c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</row>
    <row r="125" hidden="1" spans="1:23">
      <c r="A125" s="24"/>
      <c r="B125" s="28"/>
      <c r="C125" s="26"/>
      <c r="D125" s="26"/>
      <c r="E125" s="26"/>
      <c r="F125" s="26"/>
      <c r="G125" s="23"/>
      <c r="H125" s="23"/>
      <c r="I125" s="23"/>
      <c r="J125" s="23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</row>
    <row r="126" spans="1:23">
      <c r="A126" s="20" t="s">
        <v>91</v>
      </c>
      <c r="B126" s="21" t="s">
        <v>92</v>
      </c>
      <c r="C126" s="22"/>
      <c r="D126" s="22"/>
      <c r="E126" s="22"/>
      <c r="F126" s="22"/>
      <c r="G126" s="23"/>
      <c r="H126" s="23"/>
      <c r="I126" s="23"/>
      <c r="J126" s="23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</row>
    <row r="127" ht="28.8" spans="1:23">
      <c r="A127" s="24">
        <v>1</v>
      </c>
      <c r="B127" s="27" t="s">
        <v>93</v>
      </c>
      <c r="C127" s="26"/>
      <c r="D127" s="26"/>
      <c r="E127" s="26"/>
      <c r="F127" s="26"/>
      <c r="G127" s="23"/>
      <c r="H127" s="23"/>
      <c r="I127" s="23">
        <f>SUM(H128:H137)</f>
        <v>20373000</v>
      </c>
      <c r="J127" s="23">
        <f t="shared" ref="J127:J139" si="31">I127/$I$315*100</f>
        <v>2.38002336448598</v>
      </c>
      <c r="K127" s="37"/>
      <c r="L127" s="37"/>
      <c r="M127" s="37"/>
      <c r="N127" s="37"/>
      <c r="O127" s="37"/>
      <c r="P127" s="37"/>
      <c r="Q127" s="39">
        <f>$J$127/4</f>
        <v>0.595005841121495</v>
      </c>
      <c r="R127" s="39">
        <f t="shared" ref="R127:T127" si="32">$J$127/4</f>
        <v>0.595005841121495</v>
      </c>
      <c r="S127" s="39">
        <f t="shared" si="32"/>
        <v>0.595005841121495</v>
      </c>
      <c r="T127" s="39">
        <f t="shared" si="32"/>
        <v>0.595005841121495</v>
      </c>
      <c r="U127" s="37"/>
      <c r="V127" s="37"/>
      <c r="W127" s="37"/>
    </row>
    <row r="128" hidden="1" spans="1:23">
      <c r="A128" s="24" t="s">
        <v>45</v>
      </c>
      <c r="B128" s="28" t="s">
        <v>94</v>
      </c>
      <c r="C128" s="26" t="s">
        <v>63</v>
      </c>
      <c r="D128" s="26">
        <v>1</v>
      </c>
      <c r="E128" s="26"/>
      <c r="F128" s="26">
        <v>0</v>
      </c>
      <c r="G128" s="23">
        <v>945000</v>
      </c>
      <c r="H128" s="26">
        <f t="shared" ref="H128:I137" si="33">D128*G128</f>
        <v>945000</v>
      </c>
      <c r="I128" s="26">
        <f t="shared" si="33"/>
        <v>0</v>
      </c>
      <c r="J128" s="23">
        <f t="shared" si="31"/>
        <v>0</v>
      </c>
      <c r="K128" s="37"/>
      <c r="L128" s="37"/>
      <c r="M128" s="37"/>
      <c r="N128" s="37"/>
      <c r="O128" s="37"/>
      <c r="P128" s="37"/>
      <c r="Q128" s="39"/>
      <c r="R128" s="39"/>
      <c r="S128" s="39"/>
      <c r="T128" s="39"/>
      <c r="U128" s="37"/>
      <c r="V128" s="37"/>
      <c r="W128" s="37"/>
    </row>
    <row r="129" hidden="1" spans="1:23">
      <c r="A129" s="24" t="s">
        <v>48</v>
      </c>
      <c r="B129" s="28" t="s">
        <v>95</v>
      </c>
      <c r="C129" s="26" t="s">
        <v>63</v>
      </c>
      <c r="D129" s="26">
        <v>1</v>
      </c>
      <c r="E129" s="26"/>
      <c r="F129" s="26">
        <v>0</v>
      </c>
      <c r="G129" s="23">
        <v>1330000</v>
      </c>
      <c r="H129" s="26">
        <f t="shared" si="33"/>
        <v>1330000</v>
      </c>
      <c r="I129" s="26">
        <f t="shared" si="33"/>
        <v>0</v>
      </c>
      <c r="J129" s="23">
        <f t="shared" si="31"/>
        <v>0</v>
      </c>
      <c r="K129" s="37"/>
      <c r="L129" s="37"/>
      <c r="M129" s="37"/>
      <c r="N129" s="37"/>
      <c r="O129" s="37"/>
      <c r="P129" s="37"/>
      <c r="Q129" s="39"/>
      <c r="R129" s="39"/>
      <c r="S129" s="39"/>
      <c r="T129" s="39"/>
      <c r="U129" s="37"/>
      <c r="V129" s="37"/>
      <c r="W129" s="37"/>
    </row>
    <row r="130" hidden="1" spans="1:23">
      <c r="A130" s="24" t="s">
        <v>81</v>
      </c>
      <c r="B130" s="28" t="s">
        <v>96</v>
      </c>
      <c r="C130" s="26" t="s">
        <v>63</v>
      </c>
      <c r="D130" s="26">
        <v>1</v>
      </c>
      <c r="E130" s="26"/>
      <c r="F130" s="26">
        <v>0</v>
      </c>
      <c r="G130" s="23">
        <v>8155000</v>
      </c>
      <c r="H130" s="26">
        <f t="shared" si="33"/>
        <v>8155000</v>
      </c>
      <c r="I130" s="26">
        <f t="shared" si="33"/>
        <v>0</v>
      </c>
      <c r="J130" s="23">
        <f t="shared" si="31"/>
        <v>0</v>
      </c>
      <c r="K130" s="37"/>
      <c r="L130" s="37"/>
      <c r="M130" s="37"/>
      <c r="N130" s="37"/>
      <c r="O130" s="37"/>
      <c r="P130" s="37"/>
      <c r="Q130" s="39"/>
      <c r="R130" s="39"/>
      <c r="S130" s="39"/>
      <c r="T130" s="39"/>
      <c r="U130" s="37"/>
      <c r="V130" s="37"/>
      <c r="W130" s="37"/>
    </row>
    <row r="131" hidden="1" spans="1:23">
      <c r="A131" s="24" t="s">
        <v>97</v>
      </c>
      <c r="B131" s="28" t="s">
        <v>98</v>
      </c>
      <c r="C131" s="26" t="s">
        <v>63</v>
      </c>
      <c r="D131" s="26">
        <v>1</v>
      </c>
      <c r="E131" s="26"/>
      <c r="F131" s="26">
        <v>0</v>
      </c>
      <c r="G131" s="23">
        <v>882000</v>
      </c>
      <c r="H131" s="26">
        <f t="shared" si="33"/>
        <v>882000</v>
      </c>
      <c r="I131" s="26">
        <f t="shared" si="33"/>
        <v>0</v>
      </c>
      <c r="J131" s="23">
        <f t="shared" si="31"/>
        <v>0</v>
      </c>
      <c r="K131" s="37"/>
      <c r="L131" s="37"/>
      <c r="M131" s="37"/>
      <c r="N131" s="37"/>
      <c r="O131" s="37"/>
      <c r="P131" s="37"/>
      <c r="Q131" s="39"/>
      <c r="R131" s="39"/>
      <c r="S131" s="39"/>
      <c r="T131" s="39"/>
      <c r="U131" s="37"/>
      <c r="V131" s="37"/>
      <c r="W131" s="37"/>
    </row>
    <row r="132" hidden="1" spans="1:23">
      <c r="A132" s="24" t="s">
        <v>99</v>
      </c>
      <c r="B132" s="28" t="s">
        <v>100</v>
      </c>
      <c r="C132" s="26" t="s">
        <v>63</v>
      </c>
      <c r="D132" s="26">
        <v>1</v>
      </c>
      <c r="E132" s="26"/>
      <c r="F132" s="26">
        <v>0</v>
      </c>
      <c r="G132" s="23">
        <v>3430000</v>
      </c>
      <c r="H132" s="26">
        <f t="shared" si="33"/>
        <v>3430000</v>
      </c>
      <c r="I132" s="26">
        <f t="shared" si="33"/>
        <v>0</v>
      </c>
      <c r="J132" s="23">
        <f t="shared" si="31"/>
        <v>0</v>
      </c>
      <c r="K132" s="37"/>
      <c r="L132" s="37"/>
      <c r="M132" s="37"/>
      <c r="N132" s="37"/>
      <c r="O132" s="37"/>
      <c r="P132" s="37"/>
      <c r="Q132" s="39"/>
      <c r="R132" s="39"/>
      <c r="S132" s="39"/>
      <c r="T132" s="39"/>
      <c r="U132" s="37"/>
      <c r="V132" s="37"/>
      <c r="W132" s="37"/>
    </row>
    <row r="133" hidden="1" spans="1:23">
      <c r="A133" s="24" t="s">
        <v>101</v>
      </c>
      <c r="B133" s="28" t="s">
        <v>102</v>
      </c>
      <c r="C133" s="26" t="s">
        <v>63</v>
      </c>
      <c r="D133" s="26">
        <v>1</v>
      </c>
      <c r="E133" s="26"/>
      <c r="F133" s="26">
        <v>0</v>
      </c>
      <c r="G133" s="23">
        <v>1323000</v>
      </c>
      <c r="H133" s="26">
        <f t="shared" si="33"/>
        <v>1323000</v>
      </c>
      <c r="I133" s="26">
        <f t="shared" si="33"/>
        <v>0</v>
      </c>
      <c r="J133" s="23">
        <f t="shared" si="31"/>
        <v>0</v>
      </c>
      <c r="K133" s="37"/>
      <c r="L133" s="37"/>
      <c r="M133" s="37"/>
      <c r="N133" s="37"/>
      <c r="O133" s="37"/>
      <c r="P133" s="37"/>
      <c r="Q133" s="39"/>
      <c r="R133" s="39"/>
      <c r="S133" s="39"/>
      <c r="T133" s="39"/>
      <c r="U133" s="37"/>
      <c r="V133" s="37"/>
      <c r="W133" s="37"/>
    </row>
    <row r="134" hidden="1" spans="1:23">
      <c r="A134" s="24" t="s">
        <v>103</v>
      </c>
      <c r="B134" s="28" t="s">
        <v>104</v>
      </c>
      <c r="C134" s="26" t="s">
        <v>63</v>
      </c>
      <c r="D134" s="26">
        <v>1</v>
      </c>
      <c r="E134" s="26"/>
      <c r="F134" s="26">
        <v>0</v>
      </c>
      <c r="G134" s="23">
        <v>910000</v>
      </c>
      <c r="H134" s="26">
        <f t="shared" si="33"/>
        <v>910000</v>
      </c>
      <c r="I134" s="26">
        <f t="shared" si="33"/>
        <v>0</v>
      </c>
      <c r="J134" s="23">
        <f t="shared" si="31"/>
        <v>0</v>
      </c>
      <c r="K134" s="37"/>
      <c r="L134" s="37"/>
      <c r="M134" s="37"/>
      <c r="N134" s="37"/>
      <c r="O134" s="37"/>
      <c r="P134" s="37"/>
      <c r="Q134" s="39"/>
      <c r="R134" s="39"/>
      <c r="S134" s="39"/>
      <c r="T134" s="39"/>
      <c r="U134" s="37"/>
      <c r="V134" s="37"/>
      <c r="W134" s="37"/>
    </row>
    <row r="135" hidden="1" spans="1:23">
      <c r="A135" s="24" t="s">
        <v>105</v>
      </c>
      <c r="B135" s="28" t="s">
        <v>106</v>
      </c>
      <c r="C135" s="26" t="s">
        <v>63</v>
      </c>
      <c r="D135" s="26">
        <v>1</v>
      </c>
      <c r="E135" s="26"/>
      <c r="F135" s="26">
        <v>0</v>
      </c>
      <c r="G135" s="23">
        <v>1638000</v>
      </c>
      <c r="H135" s="26">
        <f t="shared" si="33"/>
        <v>1638000</v>
      </c>
      <c r="I135" s="26">
        <f t="shared" si="33"/>
        <v>0</v>
      </c>
      <c r="J135" s="23">
        <f t="shared" si="31"/>
        <v>0</v>
      </c>
      <c r="K135" s="37"/>
      <c r="L135" s="37"/>
      <c r="M135" s="37"/>
      <c r="N135" s="37"/>
      <c r="O135" s="37"/>
      <c r="P135" s="37"/>
      <c r="Q135" s="39"/>
      <c r="R135" s="39"/>
      <c r="S135" s="39"/>
      <c r="T135" s="39"/>
      <c r="U135" s="37"/>
      <c r="V135" s="37"/>
      <c r="W135" s="37"/>
    </row>
    <row r="136" hidden="1" spans="1:23">
      <c r="A136" s="24" t="s">
        <v>107</v>
      </c>
      <c r="B136" s="28" t="s">
        <v>108</v>
      </c>
      <c r="C136" s="26" t="s">
        <v>63</v>
      </c>
      <c r="D136" s="26">
        <v>1</v>
      </c>
      <c r="E136" s="26"/>
      <c r="F136" s="26">
        <v>0</v>
      </c>
      <c r="G136" s="23">
        <v>590000</v>
      </c>
      <c r="H136" s="26">
        <f t="shared" si="33"/>
        <v>590000</v>
      </c>
      <c r="I136" s="26">
        <f t="shared" si="33"/>
        <v>0</v>
      </c>
      <c r="J136" s="23">
        <f t="shared" si="31"/>
        <v>0</v>
      </c>
      <c r="K136" s="37"/>
      <c r="L136" s="37"/>
      <c r="M136" s="37"/>
      <c r="N136" s="37"/>
      <c r="O136" s="37"/>
      <c r="P136" s="37"/>
      <c r="Q136" s="39"/>
      <c r="R136" s="39"/>
      <c r="S136" s="39"/>
      <c r="T136" s="39"/>
      <c r="U136" s="37"/>
      <c r="V136" s="37"/>
      <c r="W136" s="37"/>
    </row>
    <row r="137" hidden="1" spans="1:23">
      <c r="A137" s="24" t="s">
        <v>109</v>
      </c>
      <c r="B137" s="28" t="s">
        <v>110</v>
      </c>
      <c r="C137" s="26" t="s">
        <v>63</v>
      </c>
      <c r="D137" s="26">
        <v>3</v>
      </c>
      <c r="E137" s="26"/>
      <c r="F137" s="26">
        <v>0</v>
      </c>
      <c r="G137" s="23">
        <v>390000</v>
      </c>
      <c r="H137" s="26">
        <f t="shared" si="33"/>
        <v>1170000</v>
      </c>
      <c r="I137" s="26">
        <f t="shared" si="33"/>
        <v>0</v>
      </c>
      <c r="J137" s="23">
        <f t="shared" si="31"/>
        <v>0</v>
      </c>
      <c r="K137" s="37"/>
      <c r="L137" s="37"/>
      <c r="M137" s="37"/>
      <c r="N137" s="37"/>
      <c r="O137" s="37"/>
      <c r="P137" s="37"/>
      <c r="Q137" s="39"/>
      <c r="R137" s="39"/>
      <c r="S137" s="39"/>
      <c r="T137" s="39"/>
      <c r="U137" s="37"/>
      <c r="V137" s="37"/>
      <c r="W137" s="37"/>
    </row>
    <row r="138" hidden="1" spans="1:23">
      <c r="A138" s="24"/>
      <c r="B138" s="28"/>
      <c r="C138" s="26"/>
      <c r="D138" s="26"/>
      <c r="E138" s="26"/>
      <c r="F138" s="26"/>
      <c r="G138" s="23"/>
      <c r="H138" s="23"/>
      <c r="I138" s="23"/>
      <c r="J138" s="23">
        <f t="shared" si="31"/>
        <v>0</v>
      </c>
      <c r="K138" s="37"/>
      <c r="L138" s="37"/>
      <c r="M138" s="37"/>
      <c r="N138" s="37"/>
      <c r="O138" s="37"/>
      <c r="P138" s="37"/>
      <c r="Q138" s="39"/>
      <c r="R138" s="39"/>
      <c r="S138" s="39"/>
      <c r="T138" s="39"/>
      <c r="U138" s="37"/>
      <c r="V138" s="37"/>
      <c r="W138" s="37"/>
    </row>
    <row r="139" ht="28.8" spans="1:23">
      <c r="A139" s="24">
        <v>2</v>
      </c>
      <c r="B139" s="27" t="s">
        <v>111</v>
      </c>
      <c r="C139" s="26"/>
      <c r="D139" s="26"/>
      <c r="E139" s="26"/>
      <c r="F139" s="26"/>
      <c r="G139" s="23"/>
      <c r="H139" s="23"/>
      <c r="I139" s="23">
        <f>SUM(H140:H148)</f>
        <v>19218000</v>
      </c>
      <c r="J139" s="23">
        <f t="shared" si="31"/>
        <v>2.24509345794393</v>
      </c>
      <c r="K139" s="37"/>
      <c r="L139" s="37"/>
      <c r="M139" s="37"/>
      <c r="N139" s="37"/>
      <c r="O139" s="37"/>
      <c r="P139" s="37"/>
      <c r="Q139" s="39">
        <f>$J$139/4</f>
        <v>0.561273364485981</v>
      </c>
      <c r="R139" s="39">
        <f t="shared" ref="R139:T139" si="34">$J$139/4</f>
        <v>0.561273364485981</v>
      </c>
      <c r="S139" s="39">
        <f t="shared" si="34"/>
        <v>0.561273364485981</v>
      </c>
      <c r="T139" s="39">
        <f t="shared" si="34"/>
        <v>0.561273364485981</v>
      </c>
      <c r="U139" s="37"/>
      <c r="V139" s="37"/>
      <c r="W139" s="37"/>
    </row>
    <row r="140" hidden="1" spans="1:23">
      <c r="A140" s="24" t="s">
        <v>45</v>
      </c>
      <c r="B140" s="28" t="s">
        <v>94</v>
      </c>
      <c r="C140" s="26" t="s">
        <v>63</v>
      </c>
      <c r="D140" s="26">
        <v>2</v>
      </c>
      <c r="E140" s="26"/>
      <c r="F140" s="26">
        <v>0</v>
      </c>
      <c r="G140" s="23">
        <v>945000</v>
      </c>
      <c r="H140" s="26">
        <f t="shared" ref="H140:J148" si="35">D140*G140</f>
        <v>1890000</v>
      </c>
      <c r="I140" s="26">
        <f t="shared" si="35"/>
        <v>0</v>
      </c>
      <c r="J140" s="36">
        <f t="shared" si="35"/>
        <v>0</v>
      </c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</row>
    <row r="141" hidden="1" spans="1:23">
      <c r="A141" s="24" t="s">
        <v>48</v>
      </c>
      <c r="B141" s="28" t="s">
        <v>95</v>
      </c>
      <c r="C141" s="26" t="s">
        <v>63</v>
      </c>
      <c r="D141" s="26">
        <v>2</v>
      </c>
      <c r="E141" s="26"/>
      <c r="F141" s="26">
        <v>0</v>
      </c>
      <c r="G141" s="23">
        <v>1330000</v>
      </c>
      <c r="H141" s="26">
        <f t="shared" si="35"/>
        <v>2660000</v>
      </c>
      <c r="I141" s="26">
        <f t="shared" si="35"/>
        <v>0</v>
      </c>
      <c r="J141" s="36">
        <f t="shared" si="35"/>
        <v>0</v>
      </c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</row>
    <row r="142" hidden="1" spans="1:23">
      <c r="A142" s="24" t="s">
        <v>81</v>
      </c>
      <c r="B142" s="28" t="s">
        <v>96</v>
      </c>
      <c r="C142" s="26" t="s">
        <v>63</v>
      </c>
      <c r="D142" s="26">
        <v>1</v>
      </c>
      <c r="E142" s="26"/>
      <c r="F142" s="26">
        <v>0</v>
      </c>
      <c r="G142" s="23">
        <v>8155000</v>
      </c>
      <c r="H142" s="26">
        <f t="shared" si="35"/>
        <v>8155000</v>
      </c>
      <c r="I142" s="26">
        <f t="shared" si="35"/>
        <v>0</v>
      </c>
      <c r="J142" s="36">
        <f t="shared" si="35"/>
        <v>0</v>
      </c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</row>
    <row r="143" hidden="1" spans="1:23">
      <c r="A143" s="24" t="s">
        <v>97</v>
      </c>
      <c r="B143" s="28" t="s">
        <v>98</v>
      </c>
      <c r="C143" s="26" t="s">
        <v>63</v>
      </c>
      <c r="D143" s="26">
        <v>1</v>
      </c>
      <c r="E143" s="26"/>
      <c r="F143" s="26">
        <v>0</v>
      </c>
      <c r="G143" s="23">
        <v>882000</v>
      </c>
      <c r="H143" s="26">
        <f t="shared" si="35"/>
        <v>882000</v>
      </c>
      <c r="I143" s="26">
        <f t="shared" si="35"/>
        <v>0</v>
      </c>
      <c r="J143" s="36">
        <f t="shared" si="35"/>
        <v>0</v>
      </c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</row>
    <row r="144" hidden="1" spans="1:23">
      <c r="A144" s="24" t="s">
        <v>99</v>
      </c>
      <c r="B144" s="28" t="s">
        <v>102</v>
      </c>
      <c r="C144" s="26" t="s">
        <v>63</v>
      </c>
      <c r="D144" s="26">
        <v>1</v>
      </c>
      <c r="E144" s="26"/>
      <c r="F144" s="26">
        <v>0</v>
      </c>
      <c r="G144" s="23">
        <v>1323000</v>
      </c>
      <c r="H144" s="26">
        <f t="shared" si="35"/>
        <v>1323000</v>
      </c>
      <c r="I144" s="26">
        <f t="shared" si="35"/>
        <v>0</v>
      </c>
      <c r="J144" s="36">
        <f t="shared" si="35"/>
        <v>0</v>
      </c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</row>
    <row r="145" hidden="1" spans="1:23">
      <c r="A145" s="24" t="s">
        <v>101</v>
      </c>
      <c r="B145" s="28" t="s">
        <v>104</v>
      </c>
      <c r="C145" s="26" t="s">
        <v>63</v>
      </c>
      <c r="D145" s="26">
        <v>1</v>
      </c>
      <c r="E145" s="26"/>
      <c r="F145" s="26">
        <v>0</v>
      </c>
      <c r="G145" s="23">
        <v>910000</v>
      </c>
      <c r="H145" s="26">
        <f t="shared" si="35"/>
        <v>910000</v>
      </c>
      <c r="I145" s="26">
        <f t="shared" si="35"/>
        <v>0</v>
      </c>
      <c r="J145" s="36">
        <f t="shared" si="35"/>
        <v>0</v>
      </c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</row>
    <row r="146" hidden="1" spans="1:23">
      <c r="A146" s="24" t="s">
        <v>103</v>
      </c>
      <c r="B146" s="28" t="s">
        <v>106</v>
      </c>
      <c r="C146" s="26" t="s">
        <v>63</v>
      </c>
      <c r="D146" s="26">
        <v>1</v>
      </c>
      <c r="E146" s="26"/>
      <c r="F146" s="26">
        <v>0</v>
      </c>
      <c r="G146" s="23">
        <v>1638000</v>
      </c>
      <c r="H146" s="26">
        <f t="shared" si="35"/>
        <v>1638000</v>
      </c>
      <c r="I146" s="26">
        <f t="shared" si="35"/>
        <v>0</v>
      </c>
      <c r="J146" s="36">
        <f t="shared" si="35"/>
        <v>0</v>
      </c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</row>
    <row r="147" hidden="1" spans="1:23">
      <c r="A147" s="24" t="s">
        <v>105</v>
      </c>
      <c r="B147" s="28" t="s">
        <v>108</v>
      </c>
      <c r="C147" s="26" t="s">
        <v>63</v>
      </c>
      <c r="D147" s="26">
        <v>1</v>
      </c>
      <c r="E147" s="26"/>
      <c r="F147" s="26">
        <v>0</v>
      </c>
      <c r="G147" s="23">
        <v>590000</v>
      </c>
      <c r="H147" s="26">
        <f t="shared" si="35"/>
        <v>590000</v>
      </c>
      <c r="I147" s="26">
        <f t="shared" si="35"/>
        <v>0</v>
      </c>
      <c r="J147" s="36">
        <f t="shared" si="35"/>
        <v>0</v>
      </c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</row>
    <row r="148" hidden="1" spans="1:23">
      <c r="A148" s="24" t="s">
        <v>107</v>
      </c>
      <c r="B148" s="28" t="s">
        <v>110</v>
      </c>
      <c r="C148" s="26" t="s">
        <v>63</v>
      </c>
      <c r="D148" s="26">
        <v>3</v>
      </c>
      <c r="E148" s="26"/>
      <c r="F148" s="26">
        <v>0</v>
      </c>
      <c r="G148" s="23">
        <v>390000</v>
      </c>
      <c r="H148" s="26">
        <f t="shared" si="35"/>
        <v>1170000</v>
      </c>
      <c r="I148" s="26">
        <f t="shared" si="35"/>
        <v>0</v>
      </c>
      <c r="J148" s="36">
        <f t="shared" si="35"/>
        <v>0</v>
      </c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</row>
    <row r="149" hidden="1" spans="1:23">
      <c r="A149" s="24"/>
      <c r="B149" s="28"/>
      <c r="C149" s="26"/>
      <c r="D149" s="26"/>
      <c r="E149" s="26"/>
      <c r="F149" s="26"/>
      <c r="G149" s="23"/>
      <c r="H149" s="23"/>
      <c r="I149" s="23"/>
      <c r="J149" s="23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</row>
    <row r="150" hidden="1" spans="1:23">
      <c r="A150" s="24"/>
      <c r="B150" s="28"/>
      <c r="C150" s="26"/>
      <c r="D150" s="26"/>
      <c r="E150" s="22" t="s">
        <v>112</v>
      </c>
      <c r="F150" s="22">
        <v>0</v>
      </c>
      <c r="G150" s="40"/>
      <c r="H150" s="22">
        <f>SUM(H127:H149)</f>
        <v>39591000</v>
      </c>
      <c r="I150" s="22">
        <f>SUM(I127:I149)</f>
        <v>39591000</v>
      </c>
      <c r="J150" s="38">
        <f>SUM(J127:J149)</f>
        <v>4.62511682242991</v>
      </c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</row>
    <row r="151" hidden="1" spans="1:23">
      <c r="A151" s="24"/>
      <c r="B151" s="27"/>
      <c r="C151" s="26"/>
      <c r="D151" s="26"/>
      <c r="E151" s="26"/>
      <c r="F151" s="26"/>
      <c r="G151" s="23"/>
      <c r="H151" s="23"/>
      <c r="I151" s="23"/>
      <c r="J151" s="23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</row>
    <row r="152" spans="1:23">
      <c r="A152" s="20" t="s">
        <v>113</v>
      </c>
      <c r="B152" s="21" t="s">
        <v>114</v>
      </c>
      <c r="C152" s="22"/>
      <c r="D152" s="22"/>
      <c r="E152" s="22"/>
      <c r="F152" s="22"/>
      <c r="G152" s="23"/>
      <c r="H152" s="23"/>
      <c r="I152" s="23"/>
      <c r="J152" s="23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</row>
    <row r="153" ht="28.8" spans="1:23">
      <c r="A153" s="24">
        <v>1</v>
      </c>
      <c r="B153" s="27" t="s">
        <v>115</v>
      </c>
      <c r="C153" s="26" t="s">
        <v>63</v>
      </c>
      <c r="D153" s="26">
        <v>1</v>
      </c>
      <c r="E153" s="26"/>
      <c r="F153" s="26">
        <v>0</v>
      </c>
      <c r="G153" s="23">
        <v>30000000</v>
      </c>
      <c r="H153" s="26">
        <f>D153*G153</f>
        <v>30000000</v>
      </c>
      <c r="I153" s="26">
        <f>H153</f>
        <v>30000000</v>
      </c>
      <c r="J153" s="23">
        <f t="shared" ref="J153:J159" si="36">I153/$I$315*100</f>
        <v>3.50467289719626</v>
      </c>
      <c r="K153" s="37"/>
      <c r="L153" s="37"/>
      <c r="M153" s="37"/>
      <c r="N153" s="37"/>
      <c r="O153" s="37"/>
      <c r="P153" s="37"/>
      <c r="Q153" s="37"/>
      <c r="R153" s="39">
        <f>$J$153/4</f>
        <v>0.876168224299065</v>
      </c>
      <c r="S153" s="39">
        <f t="shared" ref="S153:U153" si="37">$J$153/4</f>
        <v>0.876168224299065</v>
      </c>
      <c r="T153" s="39">
        <f t="shared" si="37"/>
        <v>0.876168224299065</v>
      </c>
      <c r="U153" s="39">
        <f t="shared" si="37"/>
        <v>0.876168224299065</v>
      </c>
      <c r="V153" s="37"/>
      <c r="W153" s="37"/>
    </row>
    <row r="154" hidden="1" spans="1:23">
      <c r="A154" s="24"/>
      <c r="B154" s="27"/>
      <c r="C154" s="26"/>
      <c r="D154" s="26"/>
      <c r="E154" s="26"/>
      <c r="F154" s="26"/>
      <c r="G154" s="23"/>
      <c r="H154" s="23"/>
      <c r="I154" s="23"/>
      <c r="J154" s="23">
        <f t="shared" si="36"/>
        <v>0</v>
      </c>
      <c r="K154" s="37"/>
      <c r="L154" s="37"/>
      <c r="M154" s="37"/>
      <c r="N154" s="37"/>
      <c r="O154" s="37"/>
      <c r="P154" s="37"/>
      <c r="Q154" s="37"/>
      <c r="R154" s="39"/>
      <c r="S154" s="39"/>
      <c r="T154" s="39"/>
      <c r="U154" s="39"/>
      <c r="V154" s="37"/>
      <c r="W154" s="37"/>
    </row>
    <row r="155" ht="28.8" spans="1:23">
      <c r="A155" s="24">
        <v>2</v>
      </c>
      <c r="B155" s="27" t="s">
        <v>116</v>
      </c>
      <c r="C155" s="26"/>
      <c r="D155" s="26"/>
      <c r="E155" s="26"/>
      <c r="F155" s="26"/>
      <c r="G155" s="23"/>
      <c r="H155" s="23"/>
      <c r="I155" s="23">
        <f>SUM(H156:H158)</f>
        <v>24000000</v>
      </c>
      <c r="J155" s="23">
        <f t="shared" si="36"/>
        <v>2.80373831775701</v>
      </c>
      <c r="K155" s="37"/>
      <c r="L155" s="37"/>
      <c r="M155" s="37"/>
      <c r="N155" s="37"/>
      <c r="O155" s="37"/>
      <c r="P155" s="37"/>
      <c r="Q155" s="37"/>
      <c r="R155" s="39">
        <f>$J$155/4</f>
        <v>0.700934579439252</v>
      </c>
      <c r="S155" s="39">
        <f t="shared" ref="S155:U155" si="38">$J$155/4</f>
        <v>0.700934579439252</v>
      </c>
      <c r="T155" s="39">
        <f t="shared" si="38"/>
        <v>0.700934579439252</v>
      </c>
      <c r="U155" s="39">
        <f t="shared" si="38"/>
        <v>0.700934579439252</v>
      </c>
      <c r="V155" s="37"/>
      <c r="W155" s="37"/>
    </row>
    <row r="156" hidden="1" spans="1:23">
      <c r="A156" s="24" t="s">
        <v>45</v>
      </c>
      <c r="B156" s="28" t="s">
        <v>69</v>
      </c>
      <c r="C156" s="26" t="s">
        <v>63</v>
      </c>
      <c r="D156" s="26">
        <v>1</v>
      </c>
      <c r="E156" s="26"/>
      <c r="F156" s="26">
        <v>0</v>
      </c>
      <c r="G156" s="23">
        <v>12000000</v>
      </c>
      <c r="H156" s="26">
        <f t="shared" ref="H156:I157" si="39">D156*G156</f>
        <v>12000000</v>
      </c>
      <c r="I156" s="26">
        <f t="shared" si="39"/>
        <v>0</v>
      </c>
      <c r="J156" s="23">
        <f t="shared" si="36"/>
        <v>0</v>
      </c>
      <c r="K156" s="37"/>
      <c r="L156" s="37"/>
      <c r="M156" s="37"/>
      <c r="N156" s="37"/>
      <c r="O156" s="37"/>
      <c r="P156" s="37"/>
      <c r="Q156" s="37"/>
      <c r="R156" s="39"/>
      <c r="S156" s="39"/>
      <c r="T156" s="39"/>
      <c r="U156" s="39"/>
      <c r="V156" s="37"/>
      <c r="W156" s="37"/>
    </row>
    <row r="157" hidden="1" spans="1:23">
      <c r="A157" s="24" t="s">
        <v>48</v>
      </c>
      <c r="B157" s="28" t="s">
        <v>70</v>
      </c>
      <c r="C157" s="26" t="s">
        <v>63</v>
      </c>
      <c r="D157" s="26">
        <v>1</v>
      </c>
      <c r="E157" s="26"/>
      <c r="F157" s="26">
        <v>0</v>
      </c>
      <c r="G157" s="23">
        <v>12000000</v>
      </c>
      <c r="H157" s="26">
        <f t="shared" si="39"/>
        <v>12000000</v>
      </c>
      <c r="I157" s="26">
        <f t="shared" si="39"/>
        <v>0</v>
      </c>
      <c r="J157" s="23">
        <f t="shared" si="36"/>
        <v>0</v>
      </c>
      <c r="K157" s="37"/>
      <c r="L157" s="37"/>
      <c r="M157" s="37"/>
      <c r="N157" s="37"/>
      <c r="O157" s="37"/>
      <c r="P157" s="37"/>
      <c r="Q157" s="37"/>
      <c r="R157" s="39"/>
      <c r="S157" s="39"/>
      <c r="T157" s="39"/>
      <c r="U157" s="39"/>
      <c r="V157" s="37"/>
      <c r="W157" s="37"/>
    </row>
    <row r="158" hidden="1" spans="1:23">
      <c r="A158" s="24"/>
      <c r="B158" s="28"/>
      <c r="C158" s="26"/>
      <c r="D158" s="26"/>
      <c r="E158" s="26"/>
      <c r="F158" s="26"/>
      <c r="G158" s="23"/>
      <c r="H158" s="23"/>
      <c r="I158" s="23"/>
      <c r="J158" s="23">
        <f t="shared" si="36"/>
        <v>0</v>
      </c>
      <c r="K158" s="37"/>
      <c r="L158" s="37"/>
      <c r="M158" s="37"/>
      <c r="N158" s="37"/>
      <c r="O158" s="37"/>
      <c r="P158" s="37"/>
      <c r="Q158" s="37"/>
      <c r="R158" s="39"/>
      <c r="S158" s="39"/>
      <c r="T158" s="39"/>
      <c r="U158" s="39"/>
      <c r="V158" s="37"/>
      <c r="W158" s="37"/>
    </row>
    <row r="159" ht="28.8" spans="1:23">
      <c r="A159" s="24">
        <v>3</v>
      </c>
      <c r="B159" s="29" t="s">
        <v>117</v>
      </c>
      <c r="C159" s="26"/>
      <c r="D159" s="26"/>
      <c r="E159" s="26"/>
      <c r="F159" s="26"/>
      <c r="G159" s="23"/>
      <c r="H159" s="23"/>
      <c r="I159" s="23">
        <f>SUM(H160:H162)</f>
        <v>31000000</v>
      </c>
      <c r="J159" s="23">
        <f t="shared" si="36"/>
        <v>3.6214953271028</v>
      </c>
      <c r="K159" s="37"/>
      <c r="L159" s="37"/>
      <c r="M159" s="37"/>
      <c r="N159" s="37"/>
      <c r="O159" s="37"/>
      <c r="P159" s="37"/>
      <c r="Q159" s="37"/>
      <c r="R159" s="39">
        <f>$J$159/4</f>
        <v>0.905373831775701</v>
      </c>
      <c r="S159" s="39">
        <f t="shared" ref="S159:U159" si="40">$J$159/4</f>
        <v>0.905373831775701</v>
      </c>
      <c r="T159" s="39">
        <f t="shared" si="40"/>
        <v>0.905373831775701</v>
      </c>
      <c r="U159" s="39">
        <f t="shared" si="40"/>
        <v>0.905373831775701</v>
      </c>
      <c r="V159" s="37"/>
      <c r="W159" s="37"/>
    </row>
    <row r="160" hidden="1" spans="1:23">
      <c r="A160" s="24" t="s">
        <v>45</v>
      </c>
      <c r="B160" s="28" t="s">
        <v>69</v>
      </c>
      <c r="C160" s="26" t="s">
        <v>63</v>
      </c>
      <c r="D160" s="26">
        <v>2</v>
      </c>
      <c r="E160" s="26"/>
      <c r="F160" s="26">
        <v>0</v>
      </c>
      <c r="G160" s="23">
        <v>7750000</v>
      </c>
      <c r="H160" s="26">
        <f t="shared" ref="H160:J161" si="41">D160*G160</f>
        <v>15500000</v>
      </c>
      <c r="I160" s="26">
        <f t="shared" si="41"/>
        <v>0</v>
      </c>
      <c r="J160" s="36">
        <f t="shared" si="41"/>
        <v>0</v>
      </c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</row>
    <row r="161" hidden="1" spans="1:23">
      <c r="A161" s="24" t="s">
        <v>48</v>
      </c>
      <c r="B161" s="28" t="s">
        <v>70</v>
      </c>
      <c r="C161" s="26" t="s">
        <v>63</v>
      </c>
      <c r="D161" s="26">
        <v>2</v>
      </c>
      <c r="E161" s="26"/>
      <c r="F161" s="26">
        <v>0</v>
      </c>
      <c r="G161" s="23">
        <v>7750000</v>
      </c>
      <c r="H161" s="26">
        <f t="shared" si="41"/>
        <v>15500000</v>
      </c>
      <c r="I161" s="26">
        <f t="shared" si="41"/>
        <v>0</v>
      </c>
      <c r="J161" s="36">
        <f t="shared" si="41"/>
        <v>0</v>
      </c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</row>
    <row r="162" hidden="1" spans="1:23">
      <c r="A162" s="24"/>
      <c r="B162" s="28"/>
      <c r="C162" s="26"/>
      <c r="D162" s="26"/>
      <c r="E162" s="26"/>
      <c r="F162" s="26"/>
      <c r="G162" s="23"/>
      <c r="H162" s="26"/>
      <c r="I162" s="26"/>
      <c r="J162" s="36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</row>
    <row r="163" hidden="1" spans="1:23">
      <c r="A163" s="24"/>
      <c r="B163" s="28"/>
      <c r="C163" s="26"/>
      <c r="D163" s="26"/>
      <c r="E163" s="22" t="s">
        <v>118</v>
      </c>
      <c r="F163" s="22">
        <v>0</v>
      </c>
      <c r="G163" s="40"/>
      <c r="H163" s="22">
        <f>SUM(H153:H162)</f>
        <v>85000000</v>
      </c>
      <c r="I163" s="22">
        <f>SUM(I153:I162)</f>
        <v>85000000</v>
      </c>
      <c r="J163" s="38">
        <f>SUM(J153:J162)</f>
        <v>9.92990654205607</v>
      </c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</row>
    <row r="164" hidden="1" spans="1:23">
      <c r="A164" s="24"/>
      <c r="B164" s="27"/>
      <c r="C164" s="26"/>
      <c r="D164" s="26"/>
      <c r="E164" s="26"/>
      <c r="F164" s="26"/>
      <c r="G164" s="23"/>
      <c r="H164" s="23"/>
      <c r="I164" s="23"/>
      <c r="J164" s="23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</row>
    <row r="165" spans="1:23">
      <c r="A165" s="20" t="s">
        <v>14</v>
      </c>
      <c r="B165" s="21" t="s">
        <v>119</v>
      </c>
      <c r="C165" s="22"/>
      <c r="D165" s="22"/>
      <c r="E165" s="22"/>
      <c r="F165" s="22"/>
      <c r="G165" s="23"/>
      <c r="H165" s="23"/>
      <c r="I165" s="23"/>
      <c r="J165" s="23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</row>
    <row r="166" ht="28.8" spans="1:23">
      <c r="A166" s="24">
        <v>1</v>
      </c>
      <c r="B166" s="27" t="s">
        <v>120</v>
      </c>
      <c r="C166" s="26" t="s">
        <v>63</v>
      </c>
      <c r="D166" s="26">
        <v>1</v>
      </c>
      <c r="E166" s="26"/>
      <c r="F166" s="26">
        <v>0</v>
      </c>
      <c r="G166" s="23">
        <v>89267925</v>
      </c>
      <c r="H166" s="26">
        <f>D166*G166</f>
        <v>89267925</v>
      </c>
      <c r="I166" s="26">
        <f>H166</f>
        <v>89267925</v>
      </c>
      <c r="J166" s="23">
        <f t="shared" ref="J166:J178" si="42">I166/$I$315*100</f>
        <v>10.428495911215</v>
      </c>
      <c r="K166" s="37"/>
      <c r="L166" s="37"/>
      <c r="M166" s="37"/>
      <c r="N166" s="39">
        <f>$J$166/8</f>
        <v>1.30356198890187</v>
      </c>
      <c r="O166" s="39">
        <f t="shared" ref="O166:U166" si="43">$J$166/8</f>
        <v>1.30356198890187</v>
      </c>
      <c r="P166" s="39">
        <f t="shared" si="43"/>
        <v>1.30356198890187</v>
      </c>
      <c r="Q166" s="39">
        <f t="shared" si="43"/>
        <v>1.30356198890187</v>
      </c>
      <c r="R166" s="39">
        <f t="shared" si="43"/>
        <v>1.30356198890187</v>
      </c>
      <c r="S166" s="39">
        <f t="shared" si="43"/>
        <v>1.30356198890187</v>
      </c>
      <c r="T166" s="39">
        <f t="shared" si="43"/>
        <v>1.30356198890187</v>
      </c>
      <c r="U166" s="39">
        <f t="shared" si="43"/>
        <v>1.30356198890187</v>
      </c>
      <c r="V166" s="37"/>
      <c r="W166" s="37"/>
    </row>
    <row r="167" hidden="1" spans="1:23">
      <c r="A167" s="24"/>
      <c r="B167" s="27"/>
      <c r="C167" s="26"/>
      <c r="D167" s="26"/>
      <c r="E167" s="26"/>
      <c r="F167" s="26"/>
      <c r="G167" s="23"/>
      <c r="H167" s="23"/>
      <c r="I167" s="23"/>
      <c r="J167" s="23">
        <f t="shared" si="42"/>
        <v>0</v>
      </c>
      <c r="K167" s="37"/>
      <c r="L167" s="37"/>
      <c r="M167" s="37"/>
      <c r="N167" s="39"/>
      <c r="O167" s="39"/>
      <c r="P167" s="39"/>
      <c r="Q167" s="39"/>
      <c r="R167" s="39"/>
      <c r="S167" s="39"/>
      <c r="T167" s="39"/>
      <c r="U167" s="39"/>
      <c r="V167" s="37"/>
      <c r="W167" s="37"/>
    </row>
    <row r="168" ht="28.8" spans="1:23">
      <c r="A168" s="24">
        <v>2</v>
      </c>
      <c r="B168" s="27" t="s">
        <v>121</v>
      </c>
      <c r="C168" s="26" t="s">
        <v>63</v>
      </c>
      <c r="D168" s="26">
        <v>1</v>
      </c>
      <c r="E168" s="26"/>
      <c r="F168" s="26">
        <v>0</v>
      </c>
      <c r="G168" s="23">
        <v>22000000</v>
      </c>
      <c r="H168" s="26">
        <f>D168*G168</f>
        <v>22000000</v>
      </c>
      <c r="I168" s="26">
        <f>H168</f>
        <v>22000000</v>
      </c>
      <c r="J168" s="23">
        <f t="shared" si="42"/>
        <v>2.57009345794392</v>
      </c>
      <c r="K168" s="37"/>
      <c r="L168" s="37"/>
      <c r="M168" s="37"/>
      <c r="N168" s="39">
        <f>$J$168/8</f>
        <v>0.321261682242991</v>
      </c>
      <c r="O168" s="39">
        <f t="shared" ref="O168:U168" si="44">$J$168/8</f>
        <v>0.321261682242991</v>
      </c>
      <c r="P168" s="39">
        <f t="shared" si="44"/>
        <v>0.321261682242991</v>
      </c>
      <c r="Q168" s="39">
        <f t="shared" si="44"/>
        <v>0.321261682242991</v>
      </c>
      <c r="R168" s="39">
        <f t="shared" si="44"/>
        <v>0.321261682242991</v>
      </c>
      <c r="S168" s="39">
        <f t="shared" si="44"/>
        <v>0.321261682242991</v>
      </c>
      <c r="T168" s="39">
        <f t="shared" si="44"/>
        <v>0.321261682242991</v>
      </c>
      <c r="U168" s="39">
        <f t="shared" si="44"/>
        <v>0.321261682242991</v>
      </c>
      <c r="V168" s="37"/>
      <c r="W168" s="37"/>
    </row>
    <row r="169" hidden="1" spans="1:23">
      <c r="A169" s="24"/>
      <c r="B169" s="27"/>
      <c r="C169" s="26"/>
      <c r="D169" s="26"/>
      <c r="E169" s="26"/>
      <c r="F169" s="26"/>
      <c r="G169" s="23"/>
      <c r="H169" s="23"/>
      <c r="I169" s="23"/>
      <c r="J169" s="23">
        <f t="shared" si="42"/>
        <v>0</v>
      </c>
      <c r="K169" s="37"/>
      <c r="L169" s="37"/>
      <c r="M169" s="37"/>
      <c r="N169" s="39"/>
      <c r="O169" s="39"/>
      <c r="P169" s="39"/>
      <c r="Q169" s="39"/>
      <c r="R169" s="39"/>
      <c r="S169" s="39"/>
      <c r="T169" s="39"/>
      <c r="U169" s="39"/>
      <c r="V169" s="37"/>
      <c r="W169" s="37"/>
    </row>
    <row r="170" ht="28.8" spans="1:23">
      <c r="A170" s="24">
        <v>3</v>
      </c>
      <c r="B170" s="27" t="s">
        <v>122</v>
      </c>
      <c r="C170" s="26"/>
      <c r="D170" s="26"/>
      <c r="E170" s="26"/>
      <c r="F170" s="26"/>
      <c r="G170" s="23"/>
      <c r="H170" s="23"/>
      <c r="I170" s="23">
        <f>SUM(H171:H172)</f>
        <v>11500000</v>
      </c>
      <c r="J170" s="23">
        <f t="shared" si="42"/>
        <v>1.34345794392523</v>
      </c>
      <c r="K170" s="37"/>
      <c r="L170" s="37"/>
      <c r="M170" s="37"/>
      <c r="N170" s="37"/>
      <c r="O170" s="37"/>
      <c r="P170" s="39">
        <f>$J$170/6</f>
        <v>0.223909657320872</v>
      </c>
      <c r="Q170" s="39">
        <f t="shared" ref="Q170:U170" si="45">$J$170/6</f>
        <v>0.223909657320872</v>
      </c>
      <c r="R170" s="39">
        <f t="shared" si="45"/>
        <v>0.223909657320872</v>
      </c>
      <c r="S170" s="39">
        <f t="shared" si="45"/>
        <v>0.223909657320872</v>
      </c>
      <c r="T170" s="39">
        <f t="shared" si="45"/>
        <v>0.223909657320872</v>
      </c>
      <c r="U170" s="39">
        <f t="shared" si="45"/>
        <v>0.223909657320872</v>
      </c>
      <c r="V170" s="37"/>
      <c r="W170" s="37"/>
    </row>
    <row r="171" hidden="1" spans="1:23">
      <c r="A171" s="24" t="s">
        <v>45</v>
      </c>
      <c r="B171" s="28" t="s">
        <v>123</v>
      </c>
      <c r="C171" s="26" t="s">
        <v>63</v>
      </c>
      <c r="D171" s="26">
        <v>1</v>
      </c>
      <c r="E171" s="26"/>
      <c r="F171" s="26">
        <v>0</v>
      </c>
      <c r="G171" s="23">
        <v>4000000</v>
      </c>
      <c r="H171" s="26">
        <f t="shared" ref="H171:I172" si="46">D171*G171</f>
        <v>4000000</v>
      </c>
      <c r="I171" s="26">
        <f t="shared" si="46"/>
        <v>0</v>
      </c>
      <c r="J171" s="23">
        <f t="shared" si="42"/>
        <v>0</v>
      </c>
      <c r="K171" s="37"/>
      <c r="L171" s="37"/>
      <c r="M171" s="37"/>
      <c r="N171" s="39"/>
      <c r="O171" s="39"/>
      <c r="P171" s="39"/>
      <c r="Q171" s="39"/>
      <c r="R171" s="39"/>
      <c r="S171" s="39"/>
      <c r="T171" s="39"/>
      <c r="U171" s="39"/>
      <c r="V171" s="37"/>
      <c r="W171" s="37"/>
    </row>
    <row r="172" hidden="1" spans="1:23">
      <c r="A172" s="24" t="s">
        <v>48</v>
      </c>
      <c r="B172" s="28" t="s">
        <v>124</v>
      </c>
      <c r="C172" s="26" t="s">
        <v>63</v>
      </c>
      <c r="D172" s="26">
        <v>1</v>
      </c>
      <c r="E172" s="26"/>
      <c r="F172" s="26">
        <v>0</v>
      </c>
      <c r="G172" s="23">
        <v>7500000</v>
      </c>
      <c r="H172" s="26">
        <f t="shared" si="46"/>
        <v>7500000</v>
      </c>
      <c r="I172" s="26">
        <f t="shared" si="46"/>
        <v>0</v>
      </c>
      <c r="J172" s="23">
        <f t="shared" si="42"/>
        <v>0</v>
      </c>
      <c r="K172" s="37"/>
      <c r="L172" s="37"/>
      <c r="M172" s="37"/>
      <c r="N172" s="39"/>
      <c r="O172" s="39"/>
      <c r="P172" s="39"/>
      <c r="Q172" s="39"/>
      <c r="R172" s="39"/>
      <c r="S172" s="39"/>
      <c r="T172" s="39"/>
      <c r="U172" s="39"/>
      <c r="V172" s="37"/>
      <c r="W172" s="37"/>
    </row>
    <row r="173" hidden="1" spans="1:23">
      <c r="A173" s="24"/>
      <c r="B173" s="28"/>
      <c r="C173" s="26"/>
      <c r="D173" s="26"/>
      <c r="E173" s="26"/>
      <c r="F173" s="26"/>
      <c r="G173" s="23"/>
      <c r="H173" s="23"/>
      <c r="I173" s="23"/>
      <c r="J173" s="23">
        <f t="shared" si="42"/>
        <v>0</v>
      </c>
      <c r="K173" s="37"/>
      <c r="L173" s="37"/>
      <c r="M173" s="37"/>
      <c r="N173" s="39"/>
      <c r="O173" s="39"/>
      <c r="P173" s="39"/>
      <c r="Q173" s="39"/>
      <c r="R173" s="39"/>
      <c r="S173" s="39"/>
      <c r="T173" s="39"/>
      <c r="U173" s="39"/>
      <c r="V173" s="37"/>
      <c r="W173" s="37"/>
    </row>
    <row r="174" ht="28.8" spans="1:23">
      <c r="A174" s="24">
        <v>4</v>
      </c>
      <c r="B174" s="27" t="s">
        <v>125</v>
      </c>
      <c r="C174" s="26"/>
      <c r="D174" s="26"/>
      <c r="E174" s="26"/>
      <c r="F174" s="26"/>
      <c r="G174" s="23"/>
      <c r="H174" s="23"/>
      <c r="I174" s="23">
        <f>SUM(H175:H177)</f>
        <v>20500000</v>
      </c>
      <c r="J174" s="23">
        <f t="shared" si="42"/>
        <v>2.39485981308411</v>
      </c>
      <c r="K174" s="37"/>
      <c r="L174" s="37"/>
      <c r="M174" s="37"/>
      <c r="N174" s="39">
        <f>$J$174/8</f>
        <v>0.299357476635514</v>
      </c>
      <c r="O174" s="39">
        <f t="shared" ref="O174:U174" si="47">$J$174/8</f>
        <v>0.299357476635514</v>
      </c>
      <c r="P174" s="39">
        <f t="shared" si="47"/>
        <v>0.299357476635514</v>
      </c>
      <c r="Q174" s="39">
        <f t="shared" si="47"/>
        <v>0.299357476635514</v>
      </c>
      <c r="R174" s="39">
        <f t="shared" si="47"/>
        <v>0.299357476635514</v>
      </c>
      <c r="S174" s="39">
        <f t="shared" si="47"/>
        <v>0.299357476635514</v>
      </c>
      <c r="T174" s="39">
        <f t="shared" si="47"/>
        <v>0.299357476635514</v>
      </c>
      <c r="U174" s="39">
        <f t="shared" si="47"/>
        <v>0.299357476635514</v>
      </c>
      <c r="V174" s="37"/>
      <c r="W174" s="37"/>
    </row>
    <row r="175" hidden="1" spans="1:23">
      <c r="A175" s="24" t="s">
        <v>45</v>
      </c>
      <c r="B175" s="28" t="s">
        <v>126</v>
      </c>
      <c r="C175" s="26" t="s">
        <v>63</v>
      </c>
      <c r="D175" s="26">
        <v>1</v>
      </c>
      <c r="E175" s="26"/>
      <c r="F175" s="26">
        <v>0</v>
      </c>
      <c r="G175" s="23">
        <v>7000000</v>
      </c>
      <c r="H175" s="26">
        <f t="shared" ref="H175:I176" si="48">D175*G175</f>
        <v>7000000</v>
      </c>
      <c r="I175" s="26">
        <f t="shared" si="48"/>
        <v>0</v>
      </c>
      <c r="J175" s="23">
        <f t="shared" si="42"/>
        <v>0</v>
      </c>
      <c r="K175" s="37"/>
      <c r="L175" s="37"/>
      <c r="M175" s="37"/>
      <c r="N175" s="39"/>
      <c r="O175" s="39"/>
      <c r="P175" s="39"/>
      <c r="Q175" s="39"/>
      <c r="R175" s="39"/>
      <c r="S175" s="39"/>
      <c r="T175" s="39"/>
      <c r="U175" s="39"/>
      <c r="V175" s="37"/>
      <c r="W175" s="37"/>
    </row>
    <row r="176" hidden="1" spans="1:23">
      <c r="A176" s="24" t="s">
        <v>48</v>
      </c>
      <c r="B176" s="28" t="s">
        <v>127</v>
      </c>
      <c r="C176" s="26" t="s">
        <v>63</v>
      </c>
      <c r="D176" s="26">
        <v>1</v>
      </c>
      <c r="E176" s="26"/>
      <c r="F176" s="26">
        <v>0</v>
      </c>
      <c r="G176" s="23">
        <v>13500000</v>
      </c>
      <c r="H176" s="26">
        <f t="shared" si="48"/>
        <v>13500000</v>
      </c>
      <c r="I176" s="26">
        <f t="shared" si="48"/>
        <v>0</v>
      </c>
      <c r="J176" s="23">
        <f t="shared" si="42"/>
        <v>0</v>
      </c>
      <c r="K176" s="37"/>
      <c r="L176" s="37"/>
      <c r="M176" s="37"/>
      <c r="N176" s="39"/>
      <c r="O176" s="39"/>
      <c r="P176" s="39"/>
      <c r="Q176" s="39"/>
      <c r="R176" s="39"/>
      <c r="S176" s="39"/>
      <c r="T176" s="39"/>
      <c r="U176" s="39"/>
      <c r="V176" s="37"/>
      <c r="W176" s="37"/>
    </row>
    <row r="177" hidden="1" spans="1:23">
      <c r="A177" s="24"/>
      <c r="B177" s="28"/>
      <c r="C177" s="26"/>
      <c r="D177" s="26"/>
      <c r="E177" s="26"/>
      <c r="F177" s="26"/>
      <c r="G177" s="23"/>
      <c r="H177" s="23"/>
      <c r="I177" s="23"/>
      <c r="J177" s="23">
        <f t="shared" si="42"/>
        <v>0</v>
      </c>
      <c r="K177" s="37"/>
      <c r="L177" s="37"/>
      <c r="M177" s="37"/>
      <c r="N177" s="39"/>
      <c r="O177" s="39"/>
      <c r="P177" s="39"/>
      <c r="Q177" s="39"/>
      <c r="R177" s="39"/>
      <c r="S177" s="39"/>
      <c r="T177" s="39"/>
      <c r="U177" s="39"/>
      <c r="V177" s="37"/>
      <c r="W177" s="37"/>
    </row>
    <row r="178" spans="1:23">
      <c r="A178" s="24">
        <v>5</v>
      </c>
      <c r="B178" s="28" t="s">
        <v>128</v>
      </c>
      <c r="C178" s="26" t="s">
        <v>63</v>
      </c>
      <c r="D178" s="26">
        <v>2</v>
      </c>
      <c r="E178" s="26"/>
      <c r="F178" s="26">
        <v>0</v>
      </c>
      <c r="G178" s="23">
        <v>4750000</v>
      </c>
      <c r="H178" s="26">
        <f>D178*G178</f>
        <v>9500000</v>
      </c>
      <c r="I178" s="26">
        <f>H178</f>
        <v>9500000</v>
      </c>
      <c r="J178" s="23">
        <f t="shared" si="42"/>
        <v>1.10981308411215</v>
      </c>
      <c r="K178" s="37"/>
      <c r="L178" s="37"/>
      <c r="M178" s="37"/>
      <c r="N178" s="39">
        <f>$J$178/8</f>
        <v>0.138726635514019</v>
      </c>
      <c r="O178" s="39">
        <f t="shared" ref="O178:U178" si="49">$J$178/8</f>
        <v>0.138726635514019</v>
      </c>
      <c r="P178" s="39">
        <f t="shared" si="49"/>
        <v>0.138726635514019</v>
      </c>
      <c r="Q178" s="39">
        <f t="shared" si="49"/>
        <v>0.138726635514019</v>
      </c>
      <c r="R178" s="39">
        <f t="shared" si="49"/>
        <v>0.138726635514019</v>
      </c>
      <c r="S178" s="39">
        <f t="shared" si="49"/>
        <v>0.138726635514019</v>
      </c>
      <c r="T178" s="39">
        <f t="shared" si="49"/>
        <v>0.138726635514019</v>
      </c>
      <c r="U178" s="39">
        <f t="shared" si="49"/>
        <v>0.138726635514019</v>
      </c>
      <c r="V178" s="37"/>
      <c r="W178" s="37"/>
    </row>
    <row r="179" hidden="1" spans="1:23">
      <c r="A179" s="24"/>
      <c r="B179" s="28"/>
      <c r="C179" s="26"/>
      <c r="D179" s="26"/>
      <c r="E179" s="26"/>
      <c r="F179" s="26"/>
      <c r="G179" s="23"/>
      <c r="H179" s="23"/>
      <c r="I179" s="23"/>
      <c r="J179" s="23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</row>
    <row r="180" hidden="1" spans="1:23">
      <c r="A180" s="24"/>
      <c r="B180" s="28"/>
      <c r="C180" s="26"/>
      <c r="D180" s="26"/>
      <c r="E180" s="22" t="s">
        <v>129</v>
      </c>
      <c r="F180" s="22">
        <v>0</v>
      </c>
      <c r="G180" s="40"/>
      <c r="H180" s="22">
        <f>SUM(H166:H179)</f>
        <v>152767925</v>
      </c>
      <c r="I180" s="22">
        <f>SUM(I166:I179)</f>
        <v>152767925</v>
      </c>
      <c r="J180" s="38">
        <f>SUM(J166:J179)</f>
        <v>17.8467202102804</v>
      </c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</row>
    <row r="181" hidden="1" spans="1:23">
      <c r="A181" s="24"/>
      <c r="B181" s="27"/>
      <c r="C181" s="26"/>
      <c r="D181" s="26"/>
      <c r="E181" s="26"/>
      <c r="F181" s="26"/>
      <c r="G181" s="23"/>
      <c r="H181" s="23"/>
      <c r="I181" s="23"/>
      <c r="J181" s="23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</row>
    <row r="182" spans="1:23">
      <c r="A182" s="20" t="s">
        <v>130</v>
      </c>
      <c r="B182" s="21" t="s">
        <v>131</v>
      </c>
      <c r="C182" s="22"/>
      <c r="D182" s="22"/>
      <c r="E182" s="22"/>
      <c r="F182" s="22"/>
      <c r="G182" s="23"/>
      <c r="H182" s="23"/>
      <c r="I182" s="23"/>
      <c r="J182" s="23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</row>
    <row r="183" spans="1:23">
      <c r="A183" s="24">
        <v>1</v>
      </c>
      <c r="B183" s="27" t="s">
        <v>132</v>
      </c>
      <c r="C183" s="26" t="s">
        <v>31</v>
      </c>
      <c r="D183" s="26">
        <v>1</v>
      </c>
      <c r="E183" s="26"/>
      <c r="F183" s="26">
        <v>0</v>
      </c>
      <c r="G183" s="23">
        <v>15000000</v>
      </c>
      <c r="H183" s="26">
        <f>D183*G183</f>
        <v>15000000</v>
      </c>
      <c r="I183" s="26">
        <f>H183</f>
        <v>15000000</v>
      </c>
      <c r="J183" s="23">
        <f t="shared" ref="J183:J223" si="50">I183/$I$315*100</f>
        <v>1.75233644859813</v>
      </c>
      <c r="K183" s="37"/>
      <c r="L183" s="37"/>
      <c r="M183" s="39">
        <f>$J$183/4</f>
        <v>0.438084112149533</v>
      </c>
      <c r="N183" s="39">
        <f t="shared" ref="N183:P183" si="51">$J$183/4</f>
        <v>0.438084112149533</v>
      </c>
      <c r="O183" s="39">
        <f t="shared" si="51"/>
        <v>0.438084112149533</v>
      </c>
      <c r="P183" s="39">
        <f t="shared" si="51"/>
        <v>0.438084112149533</v>
      </c>
      <c r="Q183" s="37"/>
      <c r="R183" s="37"/>
      <c r="S183" s="37"/>
      <c r="T183" s="37"/>
      <c r="U183" s="37"/>
      <c r="V183" s="37"/>
      <c r="W183" s="37"/>
    </row>
    <row r="184" hidden="1" spans="1:23">
      <c r="A184" s="24"/>
      <c r="B184" s="29" t="s">
        <v>133</v>
      </c>
      <c r="C184" s="26"/>
      <c r="D184" s="26"/>
      <c r="E184" s="26"/>
      <c r="F184" s="26"/>
      <c r="G184" s="23"/>
      <c r="H184" s="23"/>
      <c r="I184" s="23"/>
      <c r="J184" s="23">
        <f t="shared" si="50"/>
        <v>0</v>
      </c>
      <c r="K184" s="37"/>
      <c r="L184" s="37"/>
      <c r="M184" s="39"/>
      <c r="N184" s="39"/>
      <c r="O184" s="39"/>
      <c r="P184" s="39"/>
      <c r="Q184" s="37"/>
      <c r="R184" s="37"/>
      <c r="S184" s="37"/>
      <c r="T184" s="37"/>
      <c r="U184" s="37"/>
      <c r="V184" s="37"/>
      <c r="W184" s="37"/>
    </row>
    <row r="185" hidden="1" spans="1:23">
      <c r="A185" s="24"/>
      <c r="B185" s="29" t="s">
        <v>134</v>
      </c>
      <c r="C185" s="26"/>
      <c r="D185" s="26"/>
      <c r="E185" s="26"/>
      <c r="F185" s="26"/>
      <c r="G185" s="23"/>
      <c r="H185" s="23"/>
      <c r="I185" s="23"/>
      <c r="J185" s="23">
        <f t="shared" si="50"/>
        <v>0</v>
      </c>
      <c r="K185" s="37"/>
      <c r="L185" s="37"/>
      <c r="M185" s="39"/>
      <c r="N185" s="39"/>
      <c r="O185" s="39"/>
      <c r="P185" s="39"/>
      <c r="Q185" s="37"/>
      <c r="R185" s="37"/>
      <c r="S185" s="37"/>
      <c r="T185" s="37"/>
      <c r="U185" s="37"/>
      <c r="V185" s="37"/>
      <c r="W185" s="37"/>
    </row>
    <row r="186" hidden="1" spans="1:23">
      <c r="A186" s="24"/>
      <c r="B186" s="29" t="s">
        <v>135</v>
      </c>
      <c r="C186" s="26"/>
      <c r="D186" s="26"/>
      <c r="E186" s="26"/>
      <c r="F186" s="26"/>
      <c r="G186" s="23"/>
      <c r="H186" s="23"/>
      <c r="I186" s="23"/>
      <c r="J186" s="23">
        <f t="shared" si="50"/>
        <v>0</v>
      </c>
      <c r="K186" s="37"/>
      <c r="L186" s="37"/>
      <c r="M186" s="39"/>
      <c r="N186" s="39"/>
      <c r="O186" s="39"/>
      <c r="P186" s="39"/>
      <c r="Q186" s="37"/>
      <c r="R186" s="37"/>
      <c r="S186" s="37"/>
      <c r="T186" s="37"/>
      <c r="U186" s="37"/>
      <c r="V186" s="37"/>
      <c r="W186" s="37"/>
    </row>
    <row r="187" hidden="1" spans="1:23">
      <c r="A187" s="24"/>
      <c r="B187" s="29" t="s">
        <v>136</v>
      </c>
      <c r="C187" s="26"/>
      <c r="D187" s="26"/>
      <c r="E187" s="26"/>
      <c r="F187" s="26"/>
      <c r="G187" s="23"/>
      <c r="H187" s="23"/>
      <c r="I187" s="23"/>
      <c r="J187" s="23">
        <f t="shared" si="50"/>
        <v>0</v>
      </c>
      <c r="K187" s="37"/>
      <c r="L187" s="37"/>
      <c r="M187" s="39"/>
      <c r="N187" s="39"/>
      <c r="O187" s="39"/>
      <c r="P187" s="39"/>
      <c r="Q187" s="37"/>
      <c r="R187" s="37"/>
      <c r="S187" s="37"/>
      <c r="T187" s="37"/>
      <c r="U187" s="37"/>
      <c r="V187" s="37"/>
      <c r="W187" s="37"/>
    </row>
    <row r="188" hidden="1" spans="1:23">
      <c r="A188" s="24"/>
      <c r="B188" s="29" t="s">
        <v>137</v>
      </c>
      <c r="C188" s="26"/>
      <c r="D188" s="26"/>
      <c r="E188" s="26"/>
      <c r="F188" s="26"/>
      <c r="G188" s="23"/>
      <c r="H188" s="23"/>
      <c r="I188" s="23"/>
      <c r="J188" s="23">
        <f t="shared" si="50"/>
        <v>0</v>
      </c>
      <c r="K188" s="37"/>
      <c r="L188" s="37"/>
      <c r="M188" s="39"/>
      <c r="N188" s="39"/>
      <c r="O188" s="39"/>
      <c r="P188" s="39"/>
      <c r="Q188" s="37"/>
      <c r="R188" s="37"/>
      <c r="S188" s="37"/>
      <c r="T188" s="37"/>
      <c r="U188" s="37"/>
      <c r="V188" s="37"/>
      <c r="W188" s="37"/>
    </row>
    <row r="189" hidden="1" spans="1:23">
      <c r="A189" s="24"/>
      <c r="B189" s="29" t="s">
        <v>138</v>
      </c>
      <c r="C189" s="26"/>
      <c r="D189" s="26"/>
      <c r="E189" s="26"/>
      <c r="F189" s="26"/>
      <c r="G189" s="23"/>
      <c r="H189" s="23"/>
      <c r="I189" s="23"/>
      <c r="J189" s="23">
        <f t="shared" si="50"/>
        <v>0</v>
      </c>
      <c r="K189" s="37"/>
      <c r="L189" s="37"/>
      <c r="M189" s="39"/>
      <c r="N189" s="39"/>
      <c r="O189" s="39"/>
      <c r="P189" s="39"/>
      <c r="Q189" s="37"/>
      <c r="R189" s="37"/>
      <c r="S189" s="37"/>
      <c r="T189" s="37"/>
      <c r="U189" s="37"/>
      <c r="V189" s="37"/>
      <c r="W189" s="37"/>
    </row>
    <row r="190" hidden="1" spans="1:23">
      <c r="A190" s="24"/>
      <c r="B190" s="29" t="s">
        <v>139</v>
      </c>
      <c r="C190" s="26"/>
      <c r="D190" s="26"/>
      <c r="E190" s="26"/>
      <c r="F190" s="26"/>
      <c r="G190" s="23"/>
      <c r="H190" s="23"/>
      <c r="I190" s="23"/>
      <c r="J190" s="23">
        <f t="shared" si="50"/>
        <v>0</v>
      </c>
      <c r="K190" s="37"/>
      <c r="L190" s="37"/>
      <c r="M190" s="39"/>
      <c r="N190" s="39"/>
      <c r="O190" s="39"/>
      <c r="P190" s="39"/>
      <c r="Q190" s="37"/>
      <c r="R190" s="37"/>
      <c r="S190" s="37"/>
      <c r="T190" s="37"/>
      <c r="U190" s="37"/>
      <c r="V190" s="37"/>
      <c r="W190" s="37"/>
    </row>
    <row r="191" hidden="1" spans="1:23">
      <c r="A191" s="24"/>
      <c r="B191" s="29"/>
      <c r="C191" s="26"/>
      <c r="D191" s="26"/>
      <c r="E191" s="26"/>
      <c r="F191" s="26"/>
      <c r="G191" s="23"/>
      <c r="H191" s="23"/>
      <c r="I191" s="23"/>
      <c r="J191" s="23">
        <f t="shared" si="50"/>
        <v>0</v>
      </c>
      <c r="K191" s="37"/>
      <c r="L191" s="37"/>
      <c r="M191" s="39"/>
      <c r="N191" s="39"/>
      <c r="O191" s="39"/>
      <c r="P191" s="39"/>
      <c r="Q191" s="37"/>
      <c r="R191" s="37"/>
      <c r="S191" s="37"/>
      <c r="T191" s="37"/>
      <c r="U191" s="37"/>
      <c r="V191" s="37"/>
      <c r="W191" s="37"/>
    </row>
    <row r="192" ht="28.8" spans="1:23">
      <c r="A192" s="24">
        <v>2</v>
      </c>
      <c r="B192" s="27" t="s">
        <v>140</v>
      </c>
      <c r="C192" s="26"/>
      <c r="D192" s="26"/>
      <c r="E192" s="26"/>
      <c r="F192" s="26"/>
      <c r="G192" s="23"/>
      <c r="H192" s="23"/>
      <c r="I192" s="23">
        <f>SUM(H193:H194)</f>
        <v>7735000</v>
      </c>
      <c r="J192" s="23">
        <f t="shared" si="50"/>
        <v>0.903621495327103</v>
      </c>
      <c r="K192" s="37"/>
      <c r="L192" s="37"/>
      <c r="M192" s="39">
        <f>$J$192/4</f>
        <v>0.225905373831776</v>
      </c>
      <c r="N192" s="39">
        <f t="shared" ref="N192:P192" si="52">$J$192/4</f>
        <v>0.225905373831776</v>
      </c>
      <c r="O192" s="39">
        <f t="shared" si="52"/>
        <v>0.225905373831776</v>
      </c>
      <c r="P192" s="39">
        <f t="shared" si="52"/>
        <v>0.225905373831776</v>
      </c>
      <c r="Q192" s="37"/>
      <c r="R192" s="37"/>
      <c r="S192" s="37"/>
      <c r="T192" s="37"/>
      <c r="U192" s="37"/>
      <c r="V192" s="37"/>
      <c r="W192" s="37"/>
    </row>
    <row r="193" hidden="1" spans="1:23">
      <c r="A193" s="24" t="s">
        <v>45</v>
      </c>
      <c r="B193" s="29" t="s">
        <v>141</v>
      </c>
      <c r="C193" s="26" t="s">
        <v>55</v>
      </c>
      <c r="D193" s="26">
        <v>40</v>
      </c>
      <c r="E193" s="26"/>
      <c r="F193" s="26">
        <v>0</v>
      </c>
      <c r="G193" s="23">
        <v>175000</v>
      </c>
      <c r="H193" s="26">
        <f>D193*G193</f>
        <v>7000000</v>
      </c>
      <c r="I193" s="26">
        <f>E193*H193</f>
        <v>0</v>
      </c>
      <c r="J193" s="23">
        <f t="shared" si="50"/>
        <v>0</v>
      </c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</row>
    <row r="194" hidden="1" spans="1:23">
      <c r="A194" s="24" t="s">
        <v>48</v>
      </c>
      <c r="B194" s="29" t="s">
        <v>142</v>
      </c>
      <c r="C194" s="26" t="s">
        <v>143</v>
      </c>
      <c r="D194" s="26">
        <v>1</v>
      </c>
      <c r="E194" s="26"/>
      <c r="F194" s="26">
        <v>0</v>
      </c>
      <c r="G194" s="23">
        <v>735000</v>
      </c>
      <c r="H194" s="26">
        <f>D194*G194</f>
        <v>735000</v>
      </c>
      <c r="I194" s="26">
        <f>E194*H194</f>
        <v>0</v>
      </c>
      <c r="J194" s="23">
        <f t="shared" si="50"/>
        <v>0</v>
      </c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</row>
    <row r="195" hidden="1" spans="1:23">
      <c r="A195" s="24"/>
      <c r="B195" s="29"/>
      <c r="C195" s="26"/>
      <c r="D195" s="26"/>
      <c r="E195" s="26"/>
      <c r="F195" s="26"/>
      <c r="G195" s="23"/>
      <c r="H195" s="23"/>
      <c r="I195" s="23"/>
      <c r="J195" s="23">
        <f t="shared" si="50"/>
        <v>0</v>
      </c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</row>
    <row r="196" ht="28.8" spans="1:23">
      <c r="A196" s="24">
        <v>3</v>
      </c>
      <c r="B196" s="27" t="s">
        <v>144</v>
      </c>
      <c r="C196" s="26"/>
      <c r="D196" s="26"/>
      <c r="E196" s="26"/>
      <c r="F196" s="26"/>
      <c r="G196" s="23"/>
      <c r="H196" s="23"/>
      <c r="I196" s="23">
        <f>SUM(H197:H200)</f>
        <v>4196250</v>
      </c>
      <c r="J196" s="23">
        <f t="shared" si="50"/>
        <v>0.490216121495327</v>
      </c>
      <c r="K196" s="37"/>
      <c r="L196" s="37"/>
      <c r="M196" s="37"/>
      <c r="N196" s="37"/>
      <c r="O196" s="37"/>
      <c r="P196" s="37"/>
      <c r="Q196" s="37"/>
      <c r="R196" s="39">
        <f>$J$196/3</f>
        <v>0.163405373831776</v>
      </c>
      <c r="S196" s="39">
        <f>R196</f>
        <v>0.163405373831776</v>
      </c>
      <c r="T196" s="39">
        <f>S196</f>
        <v>0.163405373831776</v>
      </c>
      <c r="U196" s="37"/>
      <c r="V196" s="37"/>
      <c r="W196" s="37"/>
    </row>
    <row r="197" hidden="1" spans="1:23">
      <c r="A197" s="24" t="s">
        <v>45</v>
      </c>
      <c r="B197" s="28" t="s">
        <v>83</v>
      </c>
      <c r="C197" s="26" t="s">
        <v>55</v>
      </c>
      <c r="D197" s="26">
        <v>9.85</v>
      </c>
      <c r="E197" s="26"/>
      <c r="F197" s="26">
        <v>0</v>
      </c>
      <c r="G197" s="23">
        <v>225000</v>
      </c>
      <c r="H197" s="26">
        <f t="shared" ref="H197:I200" si="53">D197*G197</f>
        <v>2216250</v>
      </c>
      <c r="I197" s="26">
        <f t="shared" si="53"/>
        <v>0</v>
      </c>
      <c r="J197" s="23">
        <f t="shared" si="50"/>
        <v>0</v>
      </c>
      <c r="K197" s="37"/>
      <c r="L197" s="37"/>
      <c r="M197" s="37"/>
      <c r="N197" s="37"/>
      <c r="O197" s="37"/>
      <c r="P197" s="37"/>
      <c r="Q197" s="37"/>
      <c r="R197" s="39"/>
      <c r="S197" s="39"/>
      <c r="T197" s="39"/>
      <c r="U197" s="37"/>
      <c r="V197" s="37"/>
      <c r="W197" s="37"/>
    </row>
    <row r="198" hidden="1" spans="1:23">
      <c r="A198" s="24" t="s">
        <v>48</v>
      </c>
      <c r="B198" s="28" t="s">
        <v>145</v>
      </c>
      <c r="C198" s="26" t="s">
        <v>55</v>
      </c>
      <c r="D198" s="26">
        <v>2.9</v>
      </c>
      <c r="E198" s="26"/>
      <c r="F198" s="26">
        <v>0</v>
      </c>
      <c r="G198" s="23">
        <v>225000</v>
      </c>
      <c r="H198" s="26">
        <f t="shared" si="53"/>
        <v>652500</v>
      </c>
      <c r="I198" s="26">
        <f t="shared" si="53"/>
        <v>0</v>
      </c>
      <c r="J198" s="23">
        <f t="shared" si="50"/>
        <v>0</v>
      </c>
      <c r="K198" s="37"/>
      <c r="L198" s="37"/>
      <c r="M198" s="37"/>
      <c r="N198" s="37"/>
      <c r="O198" s="37"/>
      <c r="P198" s="37"/>
      <c r="Q198" s="37"/>
      <c r="R198" s="39"/>
      <c r="S198" s="39"/>
      <c r="T198" s="39"/>
      <c r="U198" s="37"/>
      <c r="V198" s="37"/>
      <c r="W198" s="37"/>
    </row>
    <row r="199" hidden="1" spans="1:23">
      <c r="A199" s="24" t="s">
        <v>81</v>
      </c>
      <c r="B199" s="28" t="s">
        <v>69</v>
      </c>
      <c r="C199" s="26" t="s">
        <v>55</v>
      </c>
      <c r="D199" s="26">
        <v>2.95</v>
      </c>
      <c r="E199" s="26"/>
      <c r="F199" s="26">
        <v>0</v>
      </c>
      <c r="G199" s="23">
        <v>225000</v>
      </c>
      <c r="H199" s="26">
        <f t="shared" si="53"/>
        <v>663750</v>
      </c>
      <c r="I199" s="26">
        <f t="shared" si="53"/>
        <v>0</v>
      </c>
      <c r="J199" s="23">
        <f t="shared" si="50"/>
        <v>0</v>
      </c>
      <c r="K199" s="37"/>
      <c r="L199" s="37"/>
      <c r="M199" s="37"/>
      <c r="N199" s="37"/>
      <c r="O199" s="37"/>
      <c r="P199" s="37"/>
      <c r="Q199" s="37"/>
      <c r="R199" s="39"/>
      <c r="S199" s="39"/>
      <c r="T199" s="39"/>
      <c r="U199" s="37"/>
      <c r="V199" s="37"/>
      <c r="W199" s="37"/>
    </row>
    <row r="200" hidden="1" spans="1:23">
      <c r="A200" s="24" t="s">
        <v>97</v>
      </c>
      <c r="B200" s="28" t="s">
        <v>70</v>
      </c>
      <c r="C200" s="26" t="s">
        <v>55</v>
      </c>
      <c r="D200" s="26">
        <v>2.95</v>
      </c>
      <c r="E200" s="26"/>
      <c r="F200" s="26">
        <v>0</v>
      </c>
      <c r="G200" s="23">
        <v>225000</v>
      </c>
      <c r="H200" s="26">
        <f t="shared" si="53"/>
        <v>663750</v>
      </c>
      <c r="I200" s="26">
        <f t="shared" si="53"/>
        <v>0</v>
      </c>
      <c r="J200" s="23">
        <f t="shared" si="50"/>
        <v>0</v>
      </c>
      <c r="K200" s="37"/>
      <c r="L200" s="37"/>
      <c r="M200" s="37"/>
      <c r="N200" s="37"/>
      <c r="O200" s="37"/>
      <c r="P200" s="37"/>
      <c r="Q200" s="37"/>
      <c r="R200" s="39"/>
      <c r="S200" s="39"/>
      <c r="T200" s="39"/>
      <c r="U200" s="37"/>
      <c r="V200" s="37"/>
      <c r="W200" s="37"/>
    </row>
    <row r="201" hidden="1" spans="1:23">
      <c r="A201" s="24"/>
      <c r="B201" s="28"/>
      <c r="C201" s="26"/>
      <c r="D201" s="26"/>
      <c r="E201" s="26"/>
      <c r="F201" s="26"/>
      <c r="G201" s="23"/>
      <c r="H201" s="23"/>
      <c r="I201" s="23"/>
      <c r="J201" s="23">
        <f t="shared" si="50"/>
        <v>0</v>
      </c>
      <c r="K201" s="37"/>
      <c r="L201" s="37"/>
      <c r="M201" s="37"/>
      <c r="N201" s="37"/>
      <c r="O201" s="37"/>
      <c r="P201" s="37"/>
      <c r="Q201" s="37"/>
      <c r="R201" s="39"/>
      <c r="S201" s="39"/>
      <c r="T201" s="39"/>
      <c r="U201" s="37"/>
      <c r="V201" s="37"/>
      <c r="W201" s="37"/>
    </row>
    <row r="202" ht="28.8" spans="1:23">
      <c r="A202" s="24">
        <v>4</v>
      </c>
      <c r="B202" s="27" t="s">
        <v>146</v>
      </c>
      <c r="C202" s="26" t="s">
        <v>143</v>
      </c>
      <c r="D202" s="26">
        <v>18</v>
      </c>
      <c r="E202" s="26"/>
      <c r="F202" s="26">
        <v>0</v>
      </c>
      <c r="G202" s="23">
        <v>300000</v>
      </c>
      <c r="H202" s="26">
        <f>D202*G202</f>
        <v>5400000</v>
      </c>
      <c r="I202" s="26">
        <f>H202</f>
        <v>5400000</v>
      </c>
      <c r="J202" s="23">
        <f t="shared" si="50"/>
        <v>0.630841121495327</v>
      </c>
      <c r="K202" s="37"/>
      <c r="L202" s="37"/>
      <c r="M202" s="37"/>
      <c r="N202" s="37"/>
      <c r="O202" s="37"/>
      <c r="P202" s="37"/>
      <c r="Q202" s="37"/>
      <c r="R202" s="39">
        <f>$J$202/3</f>
        <v>0.210280373831776</v>
      </c>
      <c r="S202" s="39">
        <f t="shared" ref="S202:T202" si="54">$J$202/3</f>
        <v>0.210280373831776</v>
      </c>
      <c r="T202" s="39">
        <f t="shared" si="54"/>
        <v>0.210280373831776</v>
      </c>
      <c r="U202" s="37"/>
      <c r="V202" s="37"/>
      <c r="W202" s="37"/>
    </row>
    <row r="203" hidden="1" spans="1:23">
      <c r="A203" s="24"/>
      <c r="B203" s="27"/>
      <c r="C203" s="26"/>
      <c r="D203" s="26"/>
      <c r="E203" s="26"/>
      <c r="F203" s="26"/>
      <c r="G203" s="23"/>
      <c r="H203" s="23"/>
      <c r="I203" s="23"/>
      <c r="J203" s="23">
        <f t="shared" si="50"/>
        <v>0</v>
      </c>
      <c r="K203" s="37"/>
      <c r="L203" s="37"/>
      <c r="M203" s="37"/>
      <c r="N203" s="37"/>
      <c r="O203" s="37"/>
      <c r="P203" s="37"/>
      <c r="Q203" s="37"/>
      <c r="R203" s="39"/>
      <c r="S203" s="39"/>
      <c r="T203" s="39"/>
      <c r="U203" s="37"/>
      <c r="V203" s="37"/>
      <c r="W203" s="37"/>
    </row>
    <row r="204" ht="28.8" spans="1:23">
      <c r="A204" s="24">
        <v>5</v>
      </c>
      <c r="B204" s="27" t="s">
        <v>147</v>
      </c>
      <c r="C204" s="26" t="s">
        <v>143</v>
      </c>
      <c r="D204" s="26">
        <v>5</v>
      </c>
      <c r="E204" s="26"/>
      <c r="F204" s="26">
        <v>0</v>
      </c>
      <c r="G204" s="23">
        <v>150000</v>
      </c>
      <c r="H204" s="26">
        <f>D204*G204</f>
        <v>750000</v>
      </c>
      <c r="I204" s="26">
        <f>H204</f>
        <v>750000</v>
      </c>
      <c r="J204" s="23">
        <f t="shared" si="50"/>
        <v>0.0876168224299065</v>
      </c>
      <c r="K204" s="37"/>
      <c r="L204" s="37"/>
      <c r="M204" s="37"/>
      <c r="N204" s="37"/>
      <c r="O204" s="37"/>
      <c r="P204" s="37"/>
      <c r="Q204" s="37"/>
      <c r="R204" s="39">
        <f>$J$204/3</f>
        <v>0.0292056074766355</v>
      </c>
      <c r="S204" s="39">
        <f t="shared" ref="S204:T204" si="55">$J$204/3</f>
        <v>0.0292056074766355</v>
      </c>
      <c r="T204" s="39">
        <f t="shared" si="55"/>
        <v>0.0292056074766355</v>
      </c>
      <c r="U204" s="37"/>
      <c r="V204" s="37"/>
      <c r="W204" s="37"/>
    </row>
    <row r="205" hidden="1" spans="1:23">
      <c r="A205" s="24"/>
      <c r="B205" s="27"/>
      <c r="C205" s="26"/>
      <c r="D205" s="26"/>
      <c r="E205" s="26"/>
      <c r="F205" s="26"/>
      <c r="G205" s="23"/>
      <c r="H205" s="23"/>
      <c r="I205" s="23"/>
      <c r="J205" s="23">
        <f t="shared" si="50"/>
        <v>0</v>
      </c>
      <c r="K205" s="37"/>
      <c r="L205" s="37"/>
      <c r="M205" s="37"/>
      <c r="N205" s="37"/>
      <c r="O205" s="37"/>
      <c r="P205" s="37"/>
      <c r="Q205" s="37"/>
      <c r="R205" s="39"/>
      <c r="S205" s="39"/>
      <c r="T205" s="39"/>
      <c r="U205" s="37"/>
      <c r="V205" s="37"/>
      <c r="W205" s="37"/>
    </row>
    <row r="206" spans="1:23">
      <c r="A206" s="24">
        <v>6</v>
      </c>
      <c r="B206" s="27" t="s">
        <v>148</v>
      </c>
      <c r="C206" s="26"/>
      <c r="D206" s="26"/>
      <c r="E206" s="26"/>
      <c r="F206" s="26"/>
      <c r="G206" s="23"/>
      <c r="H206" s="23"/>
      <c r="I206" s="23">
        <f>SUM(H207:H208)</f>
        <v>1020000</v>
      </c>
      <c r="J206" s="23">
        <f t="shared" si="50"/>
        <v>0.119158878504673</v>
      </c>
      <c r="K206" s="37"/>
      <c r="L206" s="37"/>
      <c r="M206" s="37"/>
      <c r="N206" s="37"/>
      <c r="O206" s="37"/>
      <c r="P206" s="37"/>
      <c r="Q206" s="37"/>
      <c r="R206" s="39">
        <f>$J$206/3</f>
        <v>0.0397196261682243</v>
      </c>
      <c r="S206" s="39">
        <f t="shared" ref="S206:T206" si="56">$J$206/3</f>
        <v>0.0397196261682243</v>
      </c>
      <c r="T206" s="39">
        <f t="shared" si="56"/>
        <v>0.0397196261682243</v>
      </c>
      <c r="U206" s="37"/>
      <c r="V206" s="37"/>
      <c r="W206" s="37"/>
    </row>
    <row r="207" hidden="1" spans="1:23">
      <c r="A207" s="24" t="s">
        <v>45</v>
      </c>
      <c r="B207" s="27" t="s">
        <v>149</v>
      </c>
      <c r="C207" s="26" t="s">
        <v>143</v>
      </c>
      <c r="D207" s="26">
        <v>5</v>
      </c>
      <c r="E207" s="26"/>
      <c r="F207" s="26">
        <v>0</v>
      </c>
      <c r="G207" s="23">
        <v>85000</v>
      </c>
      <c r="H207" s="26">
        <f t="shared" ref="H207:I208" si="57">D207*G207</f>
        <v>425000</v>
      </c>
      <c r="I207" s="26">
        <f t="shared" si="57"/>
        <v>0</v>
      </c>
      <c r="J207" s="23">
        <f t="shared" si="50"/>
        <v>0</v>
      </c>
      <c r="K207" s="37"/>
      <c r="L207" s="37"/>
      <c r="M207" s="37"/>
      <c r="N207" s="37"/>
      <c r="O207" s="37"/>
      <c r="P207" s="37"/>
      <c r="Q207" s="37"/>
      <c r="R207" s="39"/>
      <c r="S207" s="39"/>
      <c r="T207" s="39"/>
      <c r="U207" s="37"/>
      <c r="V207" s="37"/>
      <c r="W207" s="37"/>
    </row>
    <row r="208" hidden="1" spans="1:23">
      <c r="A208" s="24" t="s">
        <v>48</v>
      </c>
      <c r="B208" s="27" t="s">
        <v>149</v>
      </c>
      <c r="C208" s="26" t="s">
        <v>143</v>
      </c>
      <c r="D208" s="26">
        <v>7</v>
      </c>
      <c r="E208" s="26"/>
      <c r="F208" s="26">
        <v>0</v>
      </c>
      <c r="G208" s="23">
        <v>85000</v>
      </c>
      <c r="H208" s="26">
        <f t="shared" si="57"/>
        <v>595000</v>
      </c>
      <c r="I208" s="26">
        <f t="shared" si="57"/>
        <v>0</v>
      </c>
      <c r="J208" s="23">
        <f t="shared" si="50"/>
        <v>0</v>
      </c>
      <c r="K208" s="37"/>
      <c r="L208" s="37"/>
      <c r="M208" s="37"/>
      <c r="N208" s="37"/>
      <c r="O208" s="37"/>
      <c r="P208" s="37"/>
      <c r="Q208" s="37"/>
      <c r="R208" s="39"/>
      <c r="S208" s="39"/>
      <c r="T208" s="39"/>
      <c r="U208" s="37"/>
      <c r="V208" s="37"/>
      <c r="W208" s="37"/>
    </row>
    <row r="209" hidden="1" spans="1:23">
      <c r="A209" s="24"/>
      <c r="B209" s="27"/>
      <c r="C209" s="26"/>
      <c r="D209" s="26"/>
      <c r="E209" s="26"/>
      <c r="F209" s="26"/>
      <c r="G209" s="23"/>
      <c r="H209" s="23"/>
      <c r="I209" s="23"/>
      <c r="J209" s="23">
        <f t="shared" si="50"/>
        <v>0</v>
      </c>
      <c r="K209" s="37"/>
      <c r="L209" s="37"/>
      <c r="M209" s="37"/>
      <c r="N209" s="37"/>
      <c r="O209" s="37"/>
      <c r="P209" s="37"/>
      <c r="Q209" s="37"/>
      <c r="R209" s="39"/>
      <c r="S209" s="39"/>
      <c r="T209" s="39"/>
      <c r="U209" s="37"/>
      <c r="V209" s="37"/>
      <c r="W209" s="37"/>
    </row>
    <row r="210" ht="28.8" spans="1:23">
      <c r="A210" s="24">
        <v>7</v>
      </c>
      <c r="B210" s="27" t="s">
        <v>150</v>
      </c>
      <c r="C210" s="26"/>
      <c r="D210" s="26"/>
      <c r="E210" s="26"/>
      <c r="F210" s="26"/>
      <c r="G210" s="23"/>
      <c r="H210" s="23"/>
      <c r="I210" s="23">
        <f>SUM(H211:H212)</f>
        <v>255000</v>
      </c>
      <c r="J210" s="23">
        <f t="shared" si="50"/>
        <v>0.0297897196261682</v>
      </c>
      <c r="K210" s="37"/>
      <c r="L210" s="37"/>
      <c r="M210" s="37"/>
      <c r="N210" s="37"/>
      <c r="O210" s="37"/>
      <c r="P210" s="37"/>
      <c r="Q210" s="37"/>
      <c r="R210" s="39">
        <f>$J$210/3</f>
        <v>0.00992990654205607</v>
      </c>
      <c r="S210" s="39">
        <f t="shared" ref="S210:T210" si="58">$J$210/3</f>
        <v>0.00992990654205607</v>
      </c>
      <c r="T210" s="39">
        <f t="shared" si="58"/>
        <v>0.00992990654205607</v>
      </c>
      <c r="U210" s="37"/>
      <c r="V210" s="37"/>
      <c r="W210" s="37"/>
    </row>
    <row r="211" hidden="1" spans="1:23">
      <c r="A211" s="24" t="s">
        <v>45</v>
      </c>
      <c r="B211" s="29" t="s">
        <v>151</v>
      </c>
      <c r="C211" s="26" t="s">
        <v>152</v>
      </c>
      <c r="D211" s="26">
        <v>1</v>
      </c>
      <c r="E211" s="26"/>
      <c r="F211" s="26">
        <v>0</v>
      </c>
      <c r="G211" s="23">
        <v>135000</v>
      </c>
      <c r="H211" s="26">
        <f t="shared" ref="H211:I212" si="59">D211*G211</f>
        <v>135000</v>
      </c>
      <c r="I211" s="26">
        <f t="shared" si="59"/>
        <v>0</v>
      </c>
      <c r="J211" s="23">
        <f t="shared" si="50"/>
        <v>0</v>
      </c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</row>
    <row r="212" hidden="1" spans="1:23">
      <c r="A212" s="24" t="s">
        <v>48</v>
      </c>
      <c r="B212" s="29" t="s">
        <v>153</v>
      </c>
      <c r="C212" s="26" t="s">
        <v>152</v>
      </c>
      <c r="D212" s="26">
        <v>2</v>
      </c>
      <c r="E212" s="26"/>
      <c r="F212" s="26">
        <v>0</v>
      </c>
      <c r="G212" s="23">
        <v>60000</v>
      </c>
      <c r="H212" s="26">
        <f t="shared" si="59"/>
        <v>120000</v>
      </c>
      <c r="I212" s="26">
        <f t="shared" si="59"/>
        <v>0</v>
      </c>
      <c r="J212" s="23">
        <f t="shared" si="50"/>
        <v>0</v>
      </c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</row>
    <row r="213" hidden="1" spans="1:23">
      <c r="A213" s="24"/>
      <c r="B213" s="29"/>
      <c r="C213" s="26"/>
      <c r="D213" s="26"/>
      <c r="E213" s="26"/>
      <c r="F213" s="26"/>
      <c r="G213" s="23"/>
      <c r="H213" s="23"/>
      <c r="I213" s="23"/>
      <c r="J213" s="23">
        <f t="shared" si="50"/>
        <v>0</v>
      </c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</row>
    <row r="214" ht="43.2" spans="1:23">
      <c r="A214" s="24">
        <v>8</v>
      </c>
      <c r="B214" s="27" t="s">
        <v>154</v>
      </c>
      <c r="C214" s="26"/>
      <c r="D214" s="26"/>
      <c r="E214" s="26"/>
      <c r="F214" s="26"/>
      <c r="G214" s="23"/>
      <c r="H214" s="23"/>
      <c r="I214" s="23">
        <f>SUM(H215:H221)</f>
        <v>12000000</v>
      </c>
      <c r="J214" s="23">
        <f t="shared" si="50"/>
        <v>1.4018691588785</v>
      </c>
      <c r="K214" s="37"/>
      <c r="L214" s="37"/>
      <c r="M214" s="37"/>
      <c r="N214" s="37"/>
      <c r="O214" s="37"/>
      <c r="P214" s="39">
        <f>$J$214/4</f>
        <v>0.350467289719626</v>
      </c>
      <c r="Q214" s="39">
        <f t="shared" ref="Q214:S214" si="60">$J$214/4</f>
        <v>0.350467289719626</v>
      </c>
      <c r="R214" s="39">
        <f t="shared" si="60"/>
        <v>0.350467289719626</v>
      </c>
      <c r="S214" s="39">
        <f t="shared" si="60"/>
        <v>0.350467289719626</v>
      </c>
      <c r="T214" s="37"/>
      <c r="U214" s="37"/>
      <c r="V214" s="37"/>
      <c r="W214" s="37"/>
    </row>
    <row r="215" hidden="1" spans="1:23">
      <c r="A215" s="24" t="s">
        <v>45</v>
      </c>
      <c r="B215" s="29" t="s">
        <v>155</v>
      </c>
      <c r="C215" s="26" t="s">
        <v>156</v>
      </c>
      <c r="D215" s="26">
        <v>6</v>
      </c>
      <c r="E215" s="26"/>
      <c r="F215" s="26">
        <v>0</v>
      </c>
      <c r="G215" s="23">
        <v>320000</v>
      </c>
      <c r="H215" s="26">
        <f t="shared" ref="H215:I221" si="61">D215*G215</f>
        <v>1920000</v>
      </c>
      <c r="I215" s="26">
        <f t="shared" si="61"/>
        <v>0</v>
      </c>
      <c r="J215" s="23">
        <f t="shared" si="50"/>
        <v>0</v>
      </c>
      <c r="K215" s="37"/>
      <c r="L215" s="37"/>
      <c r="M215" s="37"/>
      <c r="N215" s="37"/>
      <c r="O215" s="37"/>
      <c r="P215" s="39"/>
      <c r="Q215" s="39"/>
      <c r="R215" s="39"/>
      <c r="S215" s="39"/>
      <c r="T215" s="37"/>
      <c r="U215" s="37"/>
      <c r="V215" s="37"/>
      <c r="W215" s="37"/>
    </row>
    <row r="216" hidden="1" spans="1:23">
      <c r="A216" s="24" t="s">
        <v>48</v>
      </c>
      <c r="B216" s="29" t="s">
        <v>157</v>
      </c>
      <c r="C216" s="26" t="s">
        <v>156</v>
      </c>
      <c r="D216" s="26">
        <v>2</v>
      </c>
      <c r="E216" s="26"/>
      <c r="F216" s="26">
        <v>0</v>
      </c>
      <c r="G216" s="23">
        <v>320000</v>
      </c>
      <c r="H216" s="26">
        <f t="shared" si="61"/>
        <v>640000</v>
      </c>
      <c r="I216" s="26">
        <f t="shared" si="61"/>
        <v>0</v>
      </c>
      <c r="J216" s="23">
        <f t="shared" si="50"/>
        <v>0</v>
      </c>
      <c r="K216" s="37"/>
      <c r="L216" s="37"/>
      <c r="M216" s="37"/>
      <c r="N216" s="37"/>
      <c r="O216" s="37"/>
      <c r="P216" s="39"/>
      <c r="Q216" s="39"/>
      <c r="R216" s="39"/>
      <c r="S216" s="39"/>
      <c r="T216" s="37"/>
      <c r="U216" s="37"/>
      <c r="V216" s="37"/>
      <c r="W216" s="37"/>
    </row>
    <row r="217" hidden="1" spans="1:23">
      <c r="A217" s="24" t="s">
        <v>81</v>
      </c>
      <c r="B217" s="29" t="s">
        <v>158</v>
      </c>
      <c r="C217" s="26" t="s">
        <v>156</v>
      </c>
      <c r="D217" s="26">
        <v>2</v>
      </c>
      <c r="E217" s="26"/>
      <c r="F217" s="26">
        <v>0</v>
      </c>
      <c r="G217" s="23">
        <v>320000</v>
      </c>
      <c r="H217" s="26">
        <f t="shared" si="61"/>
        <v>640000</v>
      </c>
      <c r="I217" s="26">
        <f t="shared" si="61"/>
        <v>0</v>
      </c>
      <c r="J217" s="23">
        <f t="shared" si="50"/>
        <v>0</v>
      </c>
      <c r="K217" s="37"/>
      <c r="L217" s="37"/>
      <c r="M217" s="37"/>
      <c r="N217" s="37"/>
      <c r="O217" s="37"/>
      <c r="P217" s="39"/>
      <c r="Q217" s="39"/>
      <c r="R217" s="39"/>
      <c r="S217" s="39"/>
      <c r="T217" s="37"/>
      <c r="U217" s="37"/>
      <c r="V217" s="37"/>
      <c r="W217" s="37"/>
    </row>
    <row r="218" hidden="1" spans="1:23">
      <c r="A218" s="24" t="s">
        <v>97</v>
      </c>
      <c r="B218" s="29" t="s">
        <v>159</v>
      </c>
      <c r="C218" s="26" t="s">
        <v>156</v>
      </c>
      <c r="D218" s="26">
        <v>2</v>
      </c>
      <c r="E218" s="26"/>
      <c r="F218" s="26">
        <v>0</v>
      </c>
      <c r="G218" s="23">
        <v>320000</v>
      </c>
      <c r="H218" s="26">
        <f t="shared" si="61"/>
        <v>640000</v>
      </c>
      <c r="I218" s="26">
        <f t="shared" si="61"/>
        <v>0</v>
      </c>
      <c r="J218" s="23">
        <f t="shared" si="50"/>
        <v>0</v>
      </c>
      <c r="K218" s="37"/>
      <c r="L218" s="37"/>
      <c r="M218" s="37"/>
      <c r="N218" s="37"/>
      <c r="O218" s="37"/>
      <c r="P218" s="39"/>
      <c r="Q218" s="39"/>
      <c r="R218" s="39"/>
      <c r="S218" s="39"/>
      <c r="T218" s="37"/>
      <c r="U218" s="37"/>
      <c r="V218" s="37"/>
      <c r="W218" s="37"/>
    </row>
    <row r="219" hidden="1" spans="1:23">
      <c r="A219" s="24" t="s">
        <v>99</v>
      </c>
      <c r="B219" s="29" t="s">
        <v>160</v>
      </c>
      <c r="C219" s="26" t="s">
        <v>156</v>
      </c>
      <c r="D219" s="26">
        <v>18</v>
      </c>
      <c r="E219" s="26"/>
      <c r="F219" s="26">
        <v>0</v>
      </c>
      <c r="G219" s="23">
        <v>320000</v>
      </c>
      <c r="H219" s="26">
        <f t="shared" si="61"/>
        <v>5760000</v>
      </c>
      <c r="I219" s="26">
        <f t="shared" si="61"/>
        <v>0</v>
      </c>
      <c r="J219" s="23">
        <f t="shared" si="50"/>
        <v>0</v>
      </c>
      <c r="K219" s="37"/>
      <c r="L219" s="37"/>
      <c r="M219" s="37"/>
      <c r="N219" s="37"/>
      <c r="O219" s="37"/>
      <c r="P219" s="39"/>
      <c r="Q219" s="39"/>
      <c r="R219" s="39"/>
      <c r="S219" s="39"/>
      <c r="T219" s="37"/>
      <c r="U219" s="37"/>
      <c r="V219" s="37"/>
      <c r="W219" s="37"/>
    </row>
    <row r="220" hidden="1" spans="1:23">
      <c r="A220" s="24" t="s">
        <v>101</v>
      </c>
      <c r="B220" s="29" t="s">
        <v>161</v>
      </c>
      <c r="C220" s="26" t="s">
        <v>156</v>
      </c>
      <c r="D220" s="26">
        <v>5</v>
      </c>
      <c r="E220" s="26"/>
      <c r="F220" s="26">
        <v>0</v>
      </c>
      <c r="G220" s="23">
        <v>320000</v>
      </c>
      <c r="H220" s="26">
        <f t="shared" si="61"/>
        <v>1600000</v>
      </c>
      <c r="I220" s="26">
        <f t="shared" si="61"/>
        <v>0</v>
      </c>
      <c r="J220" s="23">
        <f t="shared" si="50"/>
        <v>0</v>
      </c>
      <c r="K220" s="37"/>
      <c r="L220" s="37"/>
      <c r="M220" s="37"/>
      <c r="N220" s="37"/>
      <c r="O220" s="37"/>
      <c r="P220" s="39"/>
      <c r="Q220" s="39"/>
      <c r="R220" s="39"/>
      <c r="S220" s="39"/>
      <c r="T220" s="37"/>
      <c r="U220" s="37"/>
      <c r="V220" s="37"/>
      <c r="W220" s="37"/>
    </row>
    <row r="221" hidden="1" spans="1:23">
      <c r="A221" s="24" t="s">
        <v>103</v>
      </c>
      <c r="B221" s="29" t="s">
        <v>162</v>
      </c>
      <c r="C221" s="26" t="s">
        <v>156</v>
      </c>
      <c r="D221" s="26">
        <v>2</v>
      </c>
      <c r="E221" s="26"/>
      <c r="F221" s="26">
        <v>0</v>
      </c>
      <c r="G221" s="23">
        <v>400000</v>
      </c>
      <c r="H221" s="26">
        <f t="shared" si="61"/>
        <v>800000</v>
      </c>
      <c r="I221" s="26">
        <f t="shared" si="61"/>
        <v>0</v>
      </c>
      <c r="J221" s="23">
        <f t="shared" si="50"/>
        <v>0</v>
      </c>
      <c r="K221" s="37"/>
      <c r="L221" s="37"/>
      <c r="M221" s="37"/>
      <c r="N221" s="37"/>
      <c r="O221" s="37"/>
      <c r="P221" s="39"/>
      <c r="Q221" s="39"/>
      <c r="R221" s="39"/>
      <c r="S221" s="39"/>
      <c r="T221" s="37"/>
      <c r="U221" s="37"/>
      <c r="V221" s="37"/>
      <c r="W221" s="37"/>
    </row>
    <row r="222" hidden="1" spans="1:23">
      <c r="A222" s="24"/>
      <c r="B222" s="29"/>
      <c r="C222" s="26"/>
      <c r="D222" s="26"/>
      <c r="E222" s="26"/>
      <c r="F222" s="26"/>
      <c r="G222" s="23"/>
      <c r="H222" s="23"/>
      <c r="I222" s="23"/>
      <c r="J222" s="23">
        <f t="shared" si="50"/>
        <v>0</v>
      </c>
      <c r="K222" s="37"/>
      <c r="L222" s="37"/>
      <c r="M222" s="37"/>
      <c r="N222" s="37"/>
      <c r="O222" s="37"/>
      <c r="P222" s="39"/>
      <c r="Q222" s="39"/>
      <c r="R222" s="39"/>
      <c r="S222" s="39"/>
      <c r="T222" s="37"/>
      <c r="U222" s="37"/>
      <c r="V222" s="37"/>
      <c r="W222" s="37"/>
    </row>
    <row r="223" ht="43.2" spans="1:23">
      <c r="A223" s="24">
        <v>9</v>
      </c>
      <c r="B223" s="27" t="s">
        <v>154</v>
      </c>
      <c r="C223" s="26"/>
      <c r="D223" s="26"/>
      <c r="E223" s="26"/>
      <c r="F223" s="26"/>
      <c r="G223" s="23"/>
      <c r="H223" s="23"/>
      <c r="I223" s="23">
        <f>SUM(H224:H226)</f>
        <v>3840000</v>
      </c>
      <c r="J223" s="23">
        <f t="shared" si="50"/>
        <v>0.448598130841121</v>
      </c>
      <c r="K223" s="37"/>
      <c r="L223" s="37"/>
      <c r="M223" s="37"/>
      <c r="N223" s="37"/>
      <c r="O223" s="37"/>
      <c r="P223" s="39">
        <f>$J$223/4</f>
        <v>0.11214953271028</v>
      </c>
      <c r="Q223" s="39">
        <f t="shared" ref="Q223:S223" si="62">$J$223/4</f>
        <v>0.11214953271028</v>
      </c>
      <c r="R223" s="39">
        <f t="shared" si="62"/>
        <v>0.11214953271028</v>
      </c>
      <c r="S223" s="39">
        <f t="shared" si="62"/>
        <v>0.11214953271028</v>
      </c>
      <c r="T223" s="37"/>
      <c r="U223" s="37"/>
      <c r="V223" s="37"/>
      <c r="W223" s="37"/>
    </row>
    <row r="224" hidden="1" spans="1:23">
      <c r="A224" s="24" t="s">
        <v>45</v>
      </c>
      <c r="B224" s="27" t="s">
        <v>163</v>
      </c>
      <c r="C224" s="26" t="s">
        <v>156</v>
      </c>
      <c r="D224" s="26">
        <v>5</v>
      </c>
      <c r="E224" s="26"/>
      <c r="F224" s="26">
        <v>0</v>
      </c>
      <c r="G224" s="23">
        <v>320000</v>
      </c>
      <c r="H224" s="26">
        <f t="shared" ref="H224:J225" si="63">D224*G224</f>
        <v>1600000</v>
      </c>
      <c r="I224" s="26">
        <f t="shared" si="63"/>
        <v>0</v>
      </c>
      <c r="J224" s="36">
        <f t="shared" si="63"/>
        <v>0</v>
      </c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</row>
    <row r="225" hidden="1" spans="1:23">
      <c r="A225" s="24" t="s">
        <v>48</v>
      </c>
      <c r="B225" s="27" t="s">
        <v>163</v>
      </c>
      <c r="C225" s="26" t="s">
        <v>156</v>
      </c>
      <c r="D225" s="26">
        <v>7</v>
      </c>
      <c r="E225" s="26"/>
      <c r="F225" s="26">
        <v>0</v>
      </c>
      <c r="G225" s="23">
        <v>320000</v>
      </c>
      <c r="H225" s="26">
        <f t="shared" si="63"/>
        <v>2240000</v>
      </c>
      <c r="I225" s="26">
        <f t="shared" si="63"/>
        <v>0</v>
      </c>
      <c r="J225" s="36">
        <f t="shared" si="63"/>
        <v>0</v>
      </c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</row>
    <row r="226" hidden="1" spans="1:23">
      <c r="A226" s="24"/>
      <c r="B226" s="27"/>
      <c r="C226" s="26"/>
      <c r="D226" s="26"/>
      <c r="E226" s="26"/>
      <c r="F226" s="26"/>
      <c r="G226" s="23"/>
      <c r="H226" s="23"/>
      <c r="I226" s="23"/>
      <c r="J226" s="23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</row>
    <row r="227" hidden="1" spans="1:23">
      <c r="A227" s="24"/>
      <c r="B227" s="27"/>
      <c r="C227" s="26"/>
      <c r="D227" s="26"/>
      <c r="E227" s="22" t="s">
        <v>164</v>
      </c>
      <c r="F227" s="22">
        <v>0</v>
      </c>
      <c r="G227" s="40"/>
      <c r="H227" s="22">
        <f>SUM(H183:H226)</f>
        <v>50196250</v>
      </c>
      <c r="I227" s="22">
        <f>SUM(I183:I226)</f>
        <v>50196250</v>
      </c>
      <c r="J227" s="38">
        <f>SUM(J183:J226)</f>
        <v>5.86404789719626</v>
      </c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</row>
    <row r="228" hidden="1" spans="1:23">
      <c r="A228" s="24"/>
      <c r="B228" s="27"/>
      <c r="C228" s="26"/>
      <c r="D228" s="26"/>
      <c r="E228" s="26"/>
      <c r="F228" s="26"/>
      <c r="G228" s="23"/>
      <c r="H228" s="23"/>
      <c r="I228" s="23"/>
      <c r="J228" s="23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</row>
    <row r="229" spans="1:23">
      <c r="A229" s="20" t="s">
        <v>165</v>
      </c>
      <c r="B229" s="21" t="s">
        <v>166</v>
      </c>
      <c r="C229" s="22"/>
      <c r="D229" s="22"/>
      <c r="E229" s="22"/>
      <c r="F229" s="22"/>
      <c r="G229" s="23"/>
      <c r="H229" s="23"/>
      <c r="I229" s="23"/>
      <c r="J229" s="23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</row>
    <row r="230" ht="28.8" spans="1:23">
      <c r="A230" s="24">
        <v>1</v>
      </c>
      <c r="B230" s="27" t="s">
        <v>167</v>
      </c>
      <c r="C230" s="26"/>
      <c r="D230" s="26"/>
      <c r="E230" s="26"/>
      <c r="F230" s="26"/>
      <c r="G230" s="23"/>
      <c r="H230" s="23"/>
      <c r="I230" s="23">
        <f>SUM(H231:H235)</f>
        <v>11435000</v>
      </c>
      <c r="J230" s="23">
        <f t="shared" ref="J230:J260" si="64">I230/$I$315*100</f>
        <v>1.33586448598131</v>
      </c>
      <c r="K230" s="37"/>
      <c r="L230" s="37"/>
      <c r="M230" s="37"/>
      <c r="N230" s="39">
        <f>$J$230/4</f>
        <v>0.333966121495327</v>
      </c>
      <c r="O230" s="39">
        <f t="shared" ref="O230:Q230" si="65">$J$230/4</f>
        <v>0.333966121495327</v>
      </c>
      <c r="P230" s="39">
        <f t="shared" si="65"/>
        <v>0.333966121495327</v>
      </c>
      <c r="Q230" s="39">
        <f t="shared" si="65"/>
        <v>0.333966121495327</v>
      </c>
      <c r="R230" s="37"/>
      <c r="S230" s="37"/>
      <c r="T230" s="37"/>
      <c r="U230" s="37"/>
      <c r="V230" s="37"/>
      <c r="W230" s="37"/>
    </row>
    <row r="231" hidden="1" spans="1:23">
      <c r="A231" s="24" t="s">
        <v>45</v>
      </c>
      <c r="B231" s="28" t="s">
        <v>168</v>
      </c>
      <c r="C231" s="26" t="s">
        <v>55</v>
      </c>
      <c r="D231" s="26">
        <v>50</v>
      </c>
      <c r="E231" s="26"/>
      <c r="F231" s="26">
        <v>0</v>
      </c>
      <c r="G231" s="23">
        <v>170000</v>
      </c>
      <c r="H231" s="26">
        <f t="shared" ref="H231:I235" si="66">D231*G231</f>
        <v>8500000</v>
      </c>
      <c r="I231" s="26">
        <f t="shared" si="66"/>
        <v>0</v>
      </c>
      <c r="J231" s="23">
        <f t="shared" si="64"/>
        <v>0</v>
      </c>
      <c r="K231" s="37"/>
      <c r="L231" s="37"/>
      <c r="M231" s="37"/>
      <c r="N231" s="39"/>
      <c r="O231" s="39"/>
      <c r="P231" s="39"/>
      <c r="Q231" s="37"/>
      <c r="R231" s="37"/>
      <c r="S231" s="37"/>
      <c r="T231" s="37"/>
      <c r="U231" s="37"/>
      <c r="V231" s="37"/>
      <c r="W231" s="37"/>
    </row>
    <row r="232" hidden="1" spans="1:23">
      <c r="A232" s="24" t="s">
        <v>48</v>
      </c>
      <c r="B232" s="28" t="s">
        <v>169</v>
      </c>
      <c r="C232" s="26" t="s">
        <v>143</v>
      </c>
      <c r="D232" s="26">
        <v>10</v>
      </c>
      <c r="E232" s="26"/>
      <c r="F232" s="26">
        <v>0</v>
      </c>
      <c r="G232" s="23">
        <v>65100</v>
      </c>
      <c r="H232" s="26">
        <f t="shared" si="66"/>
        <v>651000</v>
      </c>
      <c r="I232" s="26">
        <f t="shared" si="66"/>
        <v>0</v>
      </c>
      <c r="J232" s="23">
        <f t="shared" si="64"/>
        <v>0</v>
      </c>
      <c r="K232" s="37"/>
      <c r="L232" s="37"/>
      <c r="M232" s="37"/>
      <c r="N232" s="39"/>
      <c r="O232" s="39"/>
      <c r="P232" s="39"/>
      <c r="Q232" s="37"/>
      <c r="R232" s="37"/>
      <c r="S232" s="37"/>
      <c r="T232" s="37"/>
      <c r="U232" s="37"/>
      <c r="V232" s="37"/>
      <c r="W232" s="37"/>
    </row>
    <row r="233" hidden="1" spans="1:23">
      <c r="A233" s="24" t="s">
        <v>81</v>
      </c>
      <c r="B233" s="28" t="s">
        <v>170</v>
      </c>
      <c r="C233" s="26" t="s">
        <v>143</v>
      </c>
      <c r="D233" s="26">
        <v>2</v>
      </c>
      <c r="E233" s="26"/>
      <c r="F233" s="26">
        <v>0</v>
      </c>
      <c r="G233" s="23">
        <v>72000</v>
      </c>
      <c r="H233" s="26">
        <f t="shared" si="66"/>
        <v>144000</v>
      </c>
      <c r="I233" s="26">
        <f t="shared" si="66"/>
        <v>0</v>
      </c>
      <c r="J233" s="23">
        <f t="shared" si="64"/>
        <v>0</v>
      </c>
      <c r="K233" s="37"/>
      <c r="L233" s="37"/>
      <c r="M233" s="37"/>
      <c r="N233" s="39"/>
      <c r="O233" s="39"/>
      <c r="P233" s="39"/>
      <c r="Q233" s="37"/>
      <c r="R233" s="37"/>
      <c r="S233" s="37"/>
      <c r="T233" s="37"/>
      <c r="U233" s="37"/>
      <c r="V233" s="37"/>
      <c r="W233" s="37"/>
    </row>
    <row r="234" hidden="1" spans="1:23">
      <c r="A234" s="24" t="s">
        <v>97</v>
      </c>
      <c r="B234" s="28" t="s">
        <v>171</v>
      </c>
      <c r="C234" s="26" t="s">
        <v>143</v>
      </c>
      <c r="D234" s="26">
        <v>20</v>
      </c>
      <c r="E234" s="26"/>
      <c r="F234" s="26">
        <v>0</v>
      </c>
      <c r="G234" s="23">
        <v>42000</v>
      </c>
      <c r="H234" s="26">
        <f t="shared" si="66"/>
        <v>840000</v>
      </c>
      <c r="I234" s="26">
        <f t="shared" si="66"/>
        <v>0</v>
      </c>
      <c r="J234" s="23">
        <f t="shared" si="64"/>
        <v>0</v>
      </c>
      <c r="K234" s="37"/>
      <c r="L234" s="37"/>
      <c r="M234" s="37"/>
      <c r="N234" s="39"/>
      <c r="O234" s="39"/>
      <c r="P234" s="39"/>
      <c r="Q234" s="37"/>
      <c r="R234" s="37"/>
      <c r="S234" s="37"/>
      <c r="T234" s="37"/>
      <c r="U234" s="37"/>
      <c r="V234" s="37"/>
      <c r="W234" s="37"/>
    </row>
    <row r="235" hidden="1" spans="1:23">
      <c r="A235" s="24" t="s">
        <v>99</v>
      </c>
      <c r="B235" s="28" t="s">
        <v>172</v>
      </c>
      <c r="C235" s="26" t="s">
        <v>143</v>
      </c>
      <c r="D235" s="26">
        <v>1</v>
      </c>
      <c r="E235" s="26"/>
      <c r="F235" s="26">
        <v>0</v>
      </c>
      <c r="G235" s="23">
        <v>1300000</v>
      </c>
      <c r="H235" s="26">
        <f t="shared" si="66"/>
        <v>1300000</v>
      </c>
      <c r="I235" s="26">
        <f t="shared" si="66"/>
        <v>0</v>
      </c>
      <c r="J235" s="23">
        <f t="shared" si="64"/>
        <v>0</v>
      </c>
      <c r="K235" s="37"/>
      <c r="L235" s="37"/>
      <c r="M235" s="37"/>
      <c r="N235" s="39"/>
      <c r="O235" s="39"/>
      <c r="P235" s="39"/>
      <c r="Q235" s="37"/>
      <c r="R235" s="37"/>
      <c r="S235" s="37"/>
      <c r="T235" s="37"/>
      <c r="U235" s="37"/>
      <c r="V235" s="37"/>
      <c r="W235" s="37"/>
    </row>
    <row r="236" hidden="1" spans="1:23">
      <c r="A236" s="24"/>
      <c r="B236" s="25"/>
      <c r="C236" s="26"/>
      <c r="D236" s="26"/>
      <c r="E236" s="26"/>
      <c r="F236" s="26"/>
      <c r="G236" s="23"/>
      <c r="H236" s="23"/>
      <c r="I236" s="23"/>
      <c r="J236" s="23">
        <f t="shared" si="64"/>
        <v>0</v>
      </c>
      <c r="K236" s="37"/>
      <c r="L236" s="37"/>
      <c r="M236" s="37"/>
      <c r="N236" s="39"/>
      <c r="O236" s="39"/>
      <c r="P236" s="39"/>
      <c r="Q236" s="37"/>
      <c r="R236" s="37"/>
      <c r="S236" s="37"/>
      <c r="T236" s="37"/>
      <c r="U236" s="37"/>
      <c r="V236" s="37"/>
      <c r="W236" s="37"/>
    </row>
    <row r="237" ht="28.8" spans="1:23">
      <c r="A237" s="24">
        <v>2</v>
      </c>
      <c r="B237" s="27" t="s">
        <v>173</v>
      </c>
      <c r="C237" s="26"/>
      <c r="D237" s="26"/>
      <c r="E237" s="26"/>
      <c r="F237" s="26"/>
      <c r="G237" s="23"/>
      <c r="H237" s="23"/>
      <c r="I237" s="23">
        <f>SUM(H238:H242)</f>
        <v>8376000</v>
      </c>
      <c r="J237" s="23">
        <f t="shared" si="64"/>
        <v>0.978504672897196</v>
      </c>
      <c r="K237" s="37"/>
      <c r="L237" s="37"/>
      <c r="M237" s="37"/>
      <c r="N237" s="39">
        <f>$J$237/4</f>
        <v>0.244626168224299</v>
      </c>
      <c r="O237" s="39">
        <f t="shared" ref="O237:Q237" si="67">$J$237/4</f>
        <v>0.244626168224299</v>
      </c>
      <c r="P237" s="39">
        <f t="shared" si="67"/>
        <v>0.244626168224299</v>
      </c>
      <c r="Q237" s="39">
        <f t="shared" si="67"/>
        <v>0.244626168224299</v>
      </c>
      <c r="R237" s="37"/>
      <c r="S237" s="37"/>
      <c r="T237" s="37"/>
      <c r="U237" s="37"/>
      <c r="V237" s="37"/>
      <c r="W237" s="37"/>
    </row>
    <row r="238" hidden="1" spans="1:23">
      <c r="A238" s="24" t="s">
        <v>45</v>
      </c>
      <c r="B238" s="29" t="s">
        <v>174</v>
      </c>
      <c r="C238" s="26" t="s">
        <v>55</v>
      </c>
      <c r="D238" s="26">
        <v>40</v>
      </c>
      <c r="E238" s="26"/>
      <c r="F238" s="26">
        <v>0</v>
      </c>
      <c r="G238" s="23">
        <v>170000</v>
      </c>
      <c r="H238" s="26">
        <f t="shared" ref="H238:I242" si="68">D238*G238</f>
        <v>6800000</v>
      </c>
      <c r="I238" s="26">
        <f t="shared" si="68"/>
        <v>0</v>
      </c>
      <c r="J238" s="23">
        <f t="shared" si="64"/>
        <v>0</v>
      </c>
      <c r="K238" s="37"/>
      <c r="L238" s="37"/>
      <c r="M238" s="37"/>
      <c r="N238" s="37"/>
      <c r="O238" s="39"/>
      <c r="P238" s="39"/>
      <c r="Q238" s="39"/>
      <c r="R238" s="37"/>
      <c r="S238" s="37"/>
      <c r="T238" s="37"/>
      <c r="U238" s="37"/>
      <c r="V238" s="37"/>
      <c r="W238" s="37"/>
    </row>
    <row r="239" hidden="1" spans="1:23">
      <c r="A239" s="24" t="s">
        <v>48</v>
      </c>
      <c r="B239" s="29" t="s">
        <v>175</v>
      </c>
      <c r="C239" s="26" t="s">
        <v>143</v>
      </c>
      <c r="D239" s="26">
        <v>8</v>
      </c>
      <c r="E239" s="26"/>
      <c r="F239" s="26">
        <v>0</v>
      </c>
      <c r="G239" s="23">
        <v>39000</v>
      </c>
      <c r="H239" s="26">
        <f t="shared" si="68"/>
        <v>312000</v>
      </c>
      <c r="I239" s="26">
        <f t="shared" si="68"/>
        <v>0</v>
      </c>
      <c r="J239" s="23">
        <f t="shared" si="64"/>
        <v>0</v>
      </c>
      <c r="K239" s="37"/>
      <c r="L239" s="37"/>
      <c r="M239" s="37"/>
      <c r="N239" s="37"/>
      <c r="O239" s="39"/>
      <c r="P239" s="39"/>
      <c r="Q239" s="39"/>
      <c r="R239" s="37"/>
      <c r="S239" s="37"/>
      <c r="T239" s="37"/>
      <c r="U239" s="37"/>
      <c r="V239" s="37"/>
      <c r="W239" s="37"/>
    </row>
    <row r="240" hidden="1" spans="1:23">
      <c r="A240" s="24" t="s">
        <v>81</v>
      </c>
      <c r="B240" s="29" t="s">
        <v>176</v>
      </c>
      <c r="C240" s="26" t="s">
        <v>143</v>
      </c>
      <c r="D240" s="26">
        <v>2</v>
      </c>
      <c r="E240" s="26"/>
      <c r="F240" s="26">
        <v>0</v>
      </c>
      <c r="G240" s="23">
        <v>42000</v>
      </c>
      <c r="H240" s="26">
        <f t="shared" si="68"/>
        <v>84000</v>
      </c>
      <c r="I240" s="26">
        <f t="shared" si="68"/>
        <v>0</v>
      </c>
      <c r="J240" s="23">
        <f t="shared" si="64"/>
        <v>0</v>
      </c>
      <c r="K240" s="37"/>
      <c r="L240" s="37"/>
      <c r="M240" s="37"/>
      <c r="N240" s="37"/>
      <c r="O240" s="39"/>
      <c r="P240" s="39"/>
      <c r="Q240" s="39"/>
      <c r="R240" s="37"/>
      <c r="S240" s="37"/>
      <c r="T240" s="37"/>
      <c r="U240" s="37"/>
      <c r="V240" s="37"/>
      <c r="W240" s="37"/>
    </row>
    <row r="241" hidden="1" spans="1:23">
      <c r="A241" s="24" t="s">
        <v>97</v>
      </c>
      <c r="B241" s="29" t="s">
        <v>177</v>
      </c>
      <c r="C241" s="26" t="s">
        <v>143</v>
      </c>
      <c r="D241" s="26">
        <v>20</v>
      </c>
      <c r="E241" s="26"/>
      <c r="F241" s="26">
        <v>0</v>
      </c>
      <c r="G241" s="23">
        <v>30000</v>
      </c>
      <c r="H241" s="26">
        <f t="shared" si="68"/>
        <v>600000</v>
      </c>
      <c r="I241" s="26">
        <f t="shared" si="68"/>
        <v>0</v>
      </c>
      <c r="J241" s="23">
        <f t="shared" si="64"/>
        <v>0</v>
      </c>
      <c r="K241" s="37"/>
      <c r="L241" s="37"/>
      <c r="M241" s="37"/>
      <c r="N241" s="37"/>
      <c r="O241" s="39"/>
      <c r="P241" s="39"/>
      <c r="Q241" s="39"/>
      <c r="R241" s="37"/>
      <c r="S241" s="37"/>
      <c r="T241" s="37"/>
      <c r="U241" s="37"/>
      <c r="V241" s="37"/>
      <c r="W241" s="37"/>
    </row>
    <row r="242" hidden="1" spans="1:23">
      <c r="A242" s="24" t="s">
        <v>99</v>
      </c>
      <c r="B242" s="29" t="s">
        <v>178</v>
      </c>
      <c r="C242" s="26" t="s">
        <v>143</v>
      </c>
      <c r="D242" s="26">
        <v>1</v>
      </c>
      <c r="E242" s="26"/>
      <c r="F242" s="26">
        <v>0</v>
      </c>
      <c r="G242" s="23">
        <v>580000</v>
      </c>
      <c r="H242" s="26">
        <f t="shared" si="68"/>
        <v>580000</v>
      </c>
      <c r="I242" s="26">
        <f t="shared" si="68"/>
        <v>0</v>
      </c>
      <c r="J242" s="23">
        <f t="shared" si="64"/>
        <v>0</v>
      </c>
      <c r="K242" s="37"/>
      <c r="L242" s="37"/>
      <c r="M242" s="37"/>
      <c r="N242" s="37"/>
      <c r="O242" s="39"/>
      <c r="P242" s="39"/>
      <c r="Q242" s="39"/>
      <c r="R242" s="37"/>
      <c r="S242" s="37"/>
      <c r="T242" s="37"/>
      <c r="U242" s="37"/>
      <c r="V242" s="37"/>
      <c r="W242" s="37"/>
    </row>
    <row r="243" hidden="1" spans="1:23">
      <c r="A243" s="24"/>
      <c r="B243" s="29"/>
      <c r="C243" s="26"/>
      <c r="D243" s="26"/>
      <c r="E243" s="26"/>
      <c r="F243" s="26"/>
      <c r="G243" s="23"/>
      <c r="H243" s="23"/>
      <c r="I243" s="23"/>
      <c r="J243" s="23">
        <f t="shared" si="64"/>
        <v>0</v>
      </c>
      <c r="K243" s="37"/>
      <c r="L243" s="37"/>
      <c r="M243" s="37"/>
      <c r="N243" s="37"/>
      <c r="O243" s="39"/>
      <c r="P243" s="39"/>
      <c r="Q243" s="39"/>
      <c r="R243" s="37"/>
      <c r="S243" s="37"/>
      <c r="T243" s="37"/>
      <c r="U243" s="37"/>
      <c r="V243" s="37"/>
      <c r="W243" s="37"/>
    </row>
    <row r="244" spans="1:23">
      <c r="A244" s="24">
        <v>3</v>
      </c>
      <c r="B244" s="27" t="s">
        <v>179</v>
      </c>
      <c r="C244" s="26"/>
      <c r="D244" s="26"/>
      <c r="E244" s="26"/>
      <c r="F244" s="26"/>
      <c r="G244" s="23"/>
      <c r="H244" s="23"/>
      <c r="I244" s="23">
        <f>SUM(H245:H249)</f>
        <v>16471000</v>
      </c>
      <c r="J244" s="23">
        <f t="shared" si="64"/>
        <v>1.92418224299065</v>
      </c>
      <c r="K244" s="37"/>
      <c r="L244" s="37"/>
      <c r="M244" s="37"/>
      <c r="N244" s="39">
        <f>$J$244/4</f>
        <v>0.481045560747664</v>
      </c>
      <c r="O244" s="39">
        <f t="shared" ref="O244:Q244" si="69">$J$244/4</f>
        <v>0.481045560747664</v>
      </c>
      <c r="P244" s="39">
        <f t="shared" si="69"/>
        <v>0.481045560747664</v>
      </c>
      <c r="Q244" s="39">
        <f t="shared" si="69"/>
        <v>0.481045560747664</v>
      </c>
      <c r="R244" s="37"/>
      <c r="S244" s="37"/>
      <c r="T244" s="37"/>
      <c r="U244" s="37"/>
      <c r="V244" s="37"/>
      <c r="W244" s="37"/>
    </row>
    <row r="245" hidden="1" spans="1:23">
      <c r="A245" s="24" t="s">
        <v>45</v>
      </c>
      <c r="B245" s="29" t="s">
        <v>180</v>
      </c>
      <c r="C245" s="26" t="s">
        <v>156</v>
      </c>
      <c r="D245" s="26">
        <v>2</v>
      </c>
      <c r="E245" s="26"/>
      <c r="F245" s="26">
        <v>0</v>
      </c>
      <c r="G245" s="23">
        <v>800000</v>
      </c>
      <c r="H245" s="26">
        <f t="shared" ref="H245:I249" si="70">D245*G245</f>
        <v>1600000</v>
      </c>
      <c r="I245" s="26">
        <f t="shared" si="70"/>
        <v>0</v>
      </c>
      <c r="J245" s="23">
        <f t="shared" si="64"/>
        <v>0</v>
      </c>
      <c r="K245" s="37"/>
      <c r="L245" s="37"/>
      <c r="M245" s="37"/>
      <c r="N245" s="39"/>
      <c r="O245" s="39"/>
      <c r="P245" s="39"/>
      <c r="Q245" s="37"/>
      <c r="R245" s="37"/>
      <c r="S245" s="37"/>
      <c r="T245" s="37"/>
      <c r="U245" s="37"/>
      <c r="V245" s="37"/>
      <c r="W245" s="37"/>
    </row>
    <row r="246" hidden="1" spans="1:23">
      <c r="A246" s="24" t="s">
        <v>48</v>
      </c>
      <c r="B246" s="29" t="s">
        <v>181</v>
      </c>
      <c r="C246" s="26" t="s">
        <v>55</v>
      </c>
      <c r="D246" s="26">
        <v>30</v>
      </c>
      <c r="E246" s="26"/>
      <c r="F246" s="26">
        <v>0</v>
      </c>
      <c r="G246" s="23">
        <v>425000</v>
      </c>
      <c r="H246" s="26">
        <f t="shared" si="70"/>
        <v>12750000</v>
      </c>
      <c r="I246" s="26">
        <f t="shared" si="70"/>
        <v>0</v>
      </c>
      <c r="J246" s="23">
        <f t="shared" si="64"/>
        <v>0</v>
      </c>
      <c r="K246" s="37"/>
      <c r="L246" s="37"/>
      <c r="M246" s="37"/>
      <c r="N246" s="39"/>
      <c r="O246" s="39"/>
      <c r="P246" s="39"/>
      <c r="Q246" s="37"/>
      <c r="R246" s="37"/>
      <c r="S246" s="37"/>
      <c r="T246" s="37"/>
      <c r="U246" s="37"/>
      <c r="V246" s="37"/>
      <c r="W246" s="37"/>
    </row>
    <row r="247" hidden="1" spans="1:23">
      <c r="A247" s="24" t="s">
        <v>81</v>
      </c>
      <c r="B247" s="29" t="s">
        <v>182</v>
      </c>
      <c r="C247" s="26" t="s">
        <v>143</v>
      </c>
      <c r="D247" s="26">
        <v>6</v>
      </c>
      <c r="E247" s="26"/>
      <c r="F247" s="26">
        <v>0</v>
      </c>
      <c r="G247" s="23">
        <v>201000</v>
      </c>
      <c r="H247" s="26">
        <f t="shared" si="70"/>
        <v>1206000</v>
      </c>
      <c r="I247" s="26">
        <f t="shared" si="70"/>
        <v>0</v>
      </c>
      <c r="J247" s="23">
        <f t="shared" si="64"/>
        <v>0</v>
      </c>
      <c r="K247" s="37"/>
      <c r="L247" s="37"/>
      <c r="M247" s="37"/>
      <c r="N247" s="39"/>
      <c r="O247" s="39"/>
      <c r="P247" s="39"/>
      <c r="Q247" s="37"/>
      <c r="R247" s="37"/>
      <c r="S247" s="37"/>
      <c r="T247" s="37"/>
      <c r="U247" s="37"/>
      <c r="V247" s="37"/>
      <c r="W247" s="37"/>
    </row>
    <row r="248" hidden="1" spans="1:23">
      <c r="A248" s="24" t="s">
        <v>97</v>
      </c>
      <c r="B248" s="29" t="s">
        <v>183</v>
      </c>
      <c r="C248" s="26" t="s">
        <v>143</v>
      </c>
      <c r="D248" s="26">
        <v>1</v>
      </c>
      <c r="E248" s="26"/>
      <c r="F248" s="26">
        <v>0</v>
      </c>
      <c r="G248" s="23">
        <v>267000</v>
      </c>
      <c r="H248" s="26">
        <f t="shared" si="70"/>
        <v>267000</v>
      </c>
      <c r="I248" s="26">
        <f t="shared" si="70"/>
        <v>0</v>
      </c>
      <c r="J248" s="23">
        <f t="shared" si="64"/>
        <v>0</v>
      </c>
      <c r="K248" s="37"/>
      <c r="L248" s="37"/>
      <c r="M248" s="37"/>
      <c r="N248" s="39"/>
      <c r="O248" s="39"/>
      <c r="P248" s="39"/>
      <c r="Q248" s="37"/>
      <c r="R248" s="37"/>
      <c r="S248" s="37"/>
      <c r="T248" s="37"/>
      <c r="U248" s="37"/>
      <c r="V248" s="37"/>
      <c r="W248" s="37"/>
    </row>
    <row r="249" hidden="1" spans="1:23">
      <c r="A249" s="24" t="s">
        <v>99</v>
      </c>
      <c r="B249" s="29" t="s">
        <v>184</v>
      </c>
      <c r="C249" s="26" t="s">
        <v>143</v>
      </c>
      <c r="D249" s="26">
        <v>4</v>
      </c>
      <c r="E249" s="26"/>
      <c r="F249" s="26">
        <v>0</v>
      </c>
      <c r="G249" s="23">
        <v>162000</v>
      </c>
      <c r="H249" s="26">
        <f t="shared" si="70"/>
        <v>648000</v>
      </c>
      <c r="I249" s="26">
        <f t="shared" si="70"/>
        <v>0</v>
      </c>
      <c r="J249" s="23">
        <f t="shared" si="64"/>
        <v>0</v>
      </c>
      <c r="K249" s="37"/>
      <c r="L249" s="37"/>
      <c r="M249" s="37"/>
      <c r="N249" s="39"/>
      <c r="O249" s="39"/>
      <c r="P249" s="39"/>
      <c r="Q249" s="37"/>
      <c r="R249" s="37"/>
      <c r="S249" s="37"/>
      <c r="T249" s="37"/>
      <c r="U249" s="37"/>
      <c r="V249" s="37"/>
      <c r="W249" s="37"/>
    </row>
    <row r="250" hidden="1" spans="1:23">
      <c r="A250" s="24"/>
      <c r="B250" s="27"/>
      <c r="C250" s="26"/>
      <c r="D250" s="26"/>
      <c r="E250" s="26"/>
      <c r="F250" s="26"/>
      <c r="G250" s="23"/>
      <c r="H250" s="23"/>
      <c r="I250" s="23"/>
      <c r="J250" s="23">
        <f t="shared" si="64"/>
        <v>0</v>
      </c>
      <c r="K250" s="37"/>
      <c r="L250" s="37"/>
      <c r="M250" s="37"/>
      <c r="N250" s="39"/>
      <c r="O250" s="39"/>
      <c r="P250" s="39"/>
      <c r="Q250" s="37"/>
      <c r="R250" s="37"/>
      <c r="S250" s="37"/>
      <c r="T250" s="37"/>
      <c r="U250" s="37"/>
      <c r="V250" s="37"/>
      <c r="W250" s="37"/>
    </row>
    <row r="251" spans="1:23">
      <c r="A251" s="24">
        <v>4</v>
      </c>
      <c r="B251" s="27" t="s">
        <v>185</v>
      </c>
      <c r="C251" s="26"/>
      <c r="D251" s="26"/>
      <c r="E251" s="26"/>
      <c r="F251" s="26"/>
      <c r="G251" s="23"/>
      <c r="H251" s="23"/>
      <c r="I251" s="23">
        <f>SUM(H252:H258)</f>
        <v>10999000</v>
      </c>
      <c r="J251" s="23">
        <f t="shared" si="64"/>
        <v>1.28492990654206</v>
      </c>
      <c r="K251" s="37"/>
      <c r="L251" s="37"/>
      <c r="M251" s="37"/>
      <c r="N251" s="39">
        <f>$J$251/4</f>
        <v>0.321232476635514</v>
      </c>
      <c r="O251" s="39">
        <f t="shared" ref="O251:Q251" si="71">$J$251/4</f>
        <v>0.321232476635514</v>
      </c>
      <c r="P251" s="39">
        <f t="shared" si="71"/>
        <v>0.321232476635514</v>
      </c>
      <c r="Q251" s="39">
        <f t="shared" si="71"/>
        <v>0.321232476635514</v>
      </c>
      <c r="R251" s="37"/>
      <c r="S251" s="37"/>
      <c r="T251" s="37"/>
      <c r="U251" s="37"/>
      <c r="V251" s="37"/>
      <c r="W251" s="37"/>
    </row>
    <row r="252" hidden="1" spans="1:23">
      <c r="A252" s="24" t="s">
        <v>45</v>
      </c>
      <c r="B252" s="29" t="s">
        <v>186</v>
      </c>
      <c r="C252" s="26" t="s">
        <v>156</v>
      </c>
      <c r="D252" s="26">
        <v>2</v>
      </c>
      <c r="E252" s="26"/>
      <c r="F252" s="26">
        <v>0</v>
      </c>
      <c r="G252" s="23">
        <v>650000</v>
      </c>
      <c r="H252" s="26">
        <f t="shared" ref="H252:I258" si="72">D252*G252</f>
        <v>1300000</v>
      </c>
      <c r="I252" s="26">
        <f t="shared" si="72"/>
        <v>0</v>
      </c>
      <c r="J252" s="23">
        <f t="shared" si="64"/>
        <v>0</v>
      </c>
      <c r="K252" s="37"/>
      <c r="L252" s="37"/>
      <c r="M252" s="37"/>
      <c r="N252" s="39"/>
      <c r="O252" s="39"/>
      <c r="P252" s="39"/>
      <c r="Q252" s="37"/>
      <c r="R252" s="37"/>
      <c r="S252" s="37"/>
      <c r="T252" s="37"/>
      <c r="U252" s="37"/>
      <c r="V252" s="37"/>
      <c r="W252" s="37"/>
    </row>
    <row r="253" ht="28.8" hidden="1" spans="1:23">
      <c r="A253" s="24" t="s">
        <v>48</v>
      </c>
      <c r="B253" s="29" t="s">
        <v>187</v>
      </c>
      <c r="C253" s="26" t="s">
        <v>55</v>
      </c>
      <c r="D253" s="26">
        <v>30</v>
      </c>
      <c r="E253" s="26"/>
      <c r="F253" s="26">
        <v>0</v>
      </c>
      <c r="G253" s="23">
        <v>257000</v>
      </c>
      <c r="H253" s="26">
        <f t="shared" si="72"/>
        <v>7710000</v>
      </c>
      <c r="I253" s="26">
        <f t="shared" si="72"/>
        <v>0</v>
      </c>
      <c r="J253" s="23">
        <f t="shared" si="64"/>
        <v>0</v>
      </c>
      <c r="K253" s="37"/>
      <c r="L253" s="37"/>
      <c r="M253" s="37"/>
      <c r="N253" s="39"/>
      <c r="O253" s="39"/>
      <c r="P253" s="39"/>
      <c r="Q253" s="37"/>
      <c r="R253" s="37"/>
      <c r="S253" s="37"/>
      <c r="T253" s="37"/>
      <c r="U253" s="37"/>
      <c r="V253" s="37"/>
      <c r="W253" s="37"/>
    </row>
    <row r="254" ht="28.8" hidden="1" spans="1:23">
      <c r="A254" s="24" t="s">
        <v>81</v>
      </c>
      <c r="B254" s="29" t="s">
        <v>188</v>
      </c>
      <c r="C254" s="26" t="s">
        <v>55</v>
      </c>
      <c r="D254" s="26">
        <v>12</v>
      </c>
      <c r="E254" s="26"/>
      <c r="F254" s="26">
        <v>0</v>
      </c>
      <c r="G254" s="23">
        <v>125000</v>
      </c>
      <c r="H254" s="26">
        <f t="shared" si="72"/>
        <v>1500000</v>
      </c>
      <c r="I254" s="26">
        <f t="shared" si="72"/>
        <v>0</v>
      </c>
      <c r="J254" s="23">
        <f t="shared" si="64"/>
        <v>0</v>
      </c>
      <c r="K254" s="37"/>
      <c r="L254" s="37"/>
      <c r="M254" s="37"/>
      <c r="N254" s="39"/>
      <c r="O254" s="39"/>
      <c r="P254" s="39"/>
      <c r="Q254" s="37"/>
      <c r="R254" s="37"/>
      <c r="S254" s="37"/>
      <c r="T254" s="37"/>
      <c r="U254" s="37"/>
      <c r="V254" s="37"/>
      <c r="W254" s="37"/>
    </row>
    <row r="255" hidden="1" spans="1:23">
      <c r="A255" s="24" t="s">
        <v>97</v>
      </c>
      <c r="B255" s="29" t="s">
        <v>189</v>
      </c>
      <c r="C255" s="26" t="s">
        <v>143</v>
      </c>
      <c r="D255" s="26">
        <v>2</v>
      </c>
      <c r="E255" s="26"/>
      <c r="F255" s="26">
        <v>0</v>
      </c>
      <c r="G255" s="23">
        <v>108000</v>
      </c>
      <c r="H255" s="26">
        <f t="shared" si="72"/>
        <v>216000</v>
      </c>
      <c r="I255" s="26">
        <f t="shared" si="72"/>
        <v>0</v>
      </c>
      <c r="J255" s="23">
        <f t="shared" si="64"/>
        <v>0</v>
      </c>
      <c r="K255" s="37"/>
      <c r="L255" s="37"/>
      <c r="M255" s="37"/>
      <c r="N255" s="39"/>
      <c r="O255" s="39"/>
      <c r="P255" s="39"/>
      <c r="Q255" s="37"/>
      <c r="R255" s="37"/>
      <c r="S255" s="37"/>
      <c r="T255" s="37"/>
      <c r="U255" s="37"/>
      <c r="V255" s="37"/>
      <c r="W255" s="37"/>
    </row>
    <row r="256" hidden="1" spans="1:23">
      <c r="A256" s="24" t="s">
        <v>99</v>
      </c>
      <c r="B256" s="29" t="s">
        <v>190</v>
      </c>
      <c r="C256" s="26" t="s">
        <v>143</v>
      </c>
      <c r="D256" s="26">
        <v>1</v>
      </c>
      <c r="E256" s="26"/>
      <c r="F256" s="26">
        <v>0</v>
      </c>
      <c r="G256" s="23">
        <v>135000</v>
      </c>
      <c r="H256" s="26">
        <f t="shared" si="72"/>
        <v>135000</v>
      </c>
      <c r="I256" s="26">
        <f t="shared" si="72"/>
        <v>0</v>
      </c>
      <c r="J256" s="23">
        <f t="shared" si="64"/>
        <v>0</v>
      </c>
      <c r="K256" s="37"/>
      <c r="L256" s="37"/>
      <c r="M256" s="37"/>
      <c r="N256" s="39"/>
      <c r="O256" s="39"/>
      <c r="P256" s="39"/>
      <c r="Q256" s="37"/>
      <c r="R256" s="37"/>
      <c r="S256" s="37"/>
      <c r="T256" s="37"/>
      <c r="U256" s="37"/>
      <c r="V256" s="37"/>
      <c r="W256" s="37"/>
    </row>
    <row r="257" hidden="1" spans="1:23">
      <c r="A257" s="24" t="s">
        <v>101</v>
      </c>
      <c r="B257" s="29" t="s">
        <v>191</v>
      </c>
      <c r="C257" s="26" t="s">
        <v>143</v>
      </c>
      <c r="D257" s="26">
        <v>2</v>
      </c>
      <c r="E257" s="26"/>
      <c r="F257" s="26">
        <v>0</v>
      </c>
      <c r="G257" s="23">
        <v>42000</v>
      </c>
      <c r="H257" s="26">
        <f t="shared" si="72"/>
        <v>84000</v>
      </c>
      <c r="I257" s="26">
        <f t="shared" si="72"/>
        <v>0</v>
      </c>
      <c r="J257" s="23">
        <f t="shared" si="64"/>
        <v>0</v>
      </c>
      <c r="K257" s="37"/>
      <c r="L257" s="37"/>
      <c r="M257" s="37"/>
      <c r="N257" s="39"/>
      <c r="O257" s="39"/>
      <c r="P257" s="39"/>
      <c r="Q257" s="37"/>
      <c r="R257" s="37"/>
      <c r="S257" s="37"/>
      <c r="T257" s="37"/>
      <c r="U257" s="37"/>
      <c r="V257" s="37"/>
      <c r="W257" s="37"/>
    </row>
    <row r="258" hidden="1" spans="1:23">
      <c r="A258" s="24" t="s">
        <v>103</v>
      </c>
      <c r="B258" s="29" t="s">
        <v>192</v>
      </c>
      <c r="C258" s="26" t="s">
        <v>143</v>
      </c>
      <c r="D258" s="26">
        <v>1</v>
      </c>
      <c r="E258" s="26"/>
      <c r="F258" s="26">
        <v>0</v>
      </c>
      <c r="G258" s="23">
        <v>54000</v>
      </c>
      <c r="H258" s="26">
        <f t="shared" si="72"/>
        <v>54000</v>
      </c>
      <c r="I258" s="26">
        <f t="shared" si="72"/>
        <v>0</v>
      </c>
      <c r="J258" s="23">
        <f t="shared" si="64"/>
        <v>0</v>
      </c>
      <c r="K258" s="37"/>
      <c r="L258" s="37"/>
      <c r="M258" s="37"/>
      <c r="N258" s="39"/>
      <c r="O258" s="39"/>
      <c r="P258" s="39"/>
      <c r="Q258" s="37"/>
      <c r="R258" s="37"/>
      <c r="S258" s="37"/>
      <c r="T258" s="37"/>
      <c r="U258" s="37"/>
      <c r="V258" s="37"/>
      <c r="W258" s="37"/>
    </row>
    <row r="259" hidden="1" spans="1:23">
      <c r="A259" s="24"/>
      <c r="B259" s="29"/>
      <c r="C259" s="26"/>
      <c r="D259" s="26"/>
      <c r="E259" s="26"/>
      <c r="F259" s="26"/>
      <c r="G259" s="23"/>
      <c r="H259" s="23"/>
      <c r="I259" s="23"/>
      <c r="J259" s="23">
        <f t="shared" si="64"/>
        <v>0</v>
      </c>
      <c r="K259" s="37"/>
      <c r="L259" s="37"/>
      <c r="M259" s="37"/>
      <c r="N259" s="39"/>
      <c r="O259" s="39"/>
      <c r="P259" s="39"/>
      <c r="Q259" s="37"/>
      <c r="R259" s="37"/>
      <c r="S259" s="37"/>
      <c r="T259" s="37"/>
      <c r="U259" s="37"/>
      <c r="V259" s="37"/>
      <c r="W259" s="37"/>
    </row>
    <row r="260" spans="1:23">
      <c r="A260" s="24">
        <v>5</v>
      </c>
      <c r="B260" s="27" t="s">
        <v>193</v>
      </c>
      <c r="C260" s="26"/>
      <c r="D260" s="26"/>
      <c r="E260" s="26"/>
      <c r="F260" s="26"/>
      <c r="G260" s="23"/>
      <c r="H260" s="23"/>
      <c r="I260" s="23">
        <f>SUM(H261)</f>
        <v>2565000</v>
      </c>
      <c r="J260" s="23">
        <f t="shared" si="64"/>
        <v>0.29964953271028</v>
      </c>
      <c r="K260" s="37"/>
      <c r="L260" s="37"/>
      <c r="M260" s="37"/>
      <c r="N260" s="39">
        <f>$J$260/4</f>
        <v>0.0749123831775701</v>
      </c>
      <c r="O260" s="39">
        <f t="shared" ref="O260:Q260" si="73">$J$260/4</f>
        <v>0.0749123831775701</v>
      </c>
      <c r="P260" s="39">
        <f t="shared" si="73"/>
        <v>0.0749123831775701</v>
      </c>
      <c r="Q260" s="39">
        <f t="shared" si="73"/>
        <v>0.0749123831775701</v>
      </c>
      <c r="R260" s="37"/>
      <c r="S260" s="37"/>
      <c r="T260" s="37"/>
      <c r="U260" s="37"/>
      <c r="V260" s="37"/>
      <c r="W260" s="37"/>
    </row>
    <row r="261" ht="28.8" hidden="1" spans="1:23">
      <c r="A261" s="24" t="s">
        <v>45</v>
      </c>
      <c r="B261" s="29" t="s">
        <v>194</v>
      </c>
      <c r="C261" s="26" t="s">
        <v>55</v>
      </c>
      <c r="D261" s="26">
        <v>30</v>
      </c>
      <c r="E261" s="26"/>
      <c r="F261" s="26">
        <v>0</v>
      </c>
      <c r="G261" s="23">
        <v>85500</v>
      </c>
      <c r="H261" s="26">
        <f>D261*G261</f>
        <v>2565000</v>
      </c>
      <c r="I261" s="26">
        <f>E261*H261</f>
        <v>0</v>
      </c>
      <c r="J261" s="36">
        <f>F261*I261</f>
        <v>0</v>
      </c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</row>
    <row r="262" hidden="1" spans="1:23">
      <c r="A262" s="24"/>
      <c r="B262" s="29"/>
      <c r="C262" s="26"/>
      <c r="D262" s="26"/>
      <c r="E262" s="26"/>
      <c r="F262" s="26"/>
      <c r="G262" s="23"/>
      <c r="H262" s="23"/>
      <c r="I262" s="23"/>
      <c r="J262" s="23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</row>
    <row r="263" hidden="1" spans="1:23">
      <c r="A263" s="24"/>
      <c r="B263" s="29"/>
      <c r="C263" s="26"/>
      <c r="D263" s="26"/>
      <c r="E263" s="22" t="s">
        <v>195</v>
      </c>
      <c r="F263" s="22">
        <v>0</v>
      </c>
      <c r="G263" s="40"/>
      <c r="H263" s="22">
        <f>SUM(H230:H262)</f>
        <v>49846000</v>
      </c>
      <c r="I263" s="22">
        <f>SUM(I230:I262)</f>
        <v>49846000</v>
      </c>
      <c r="J263" s="38">
        <f>SUM(J230:J262)</f>
        <v>5.8231308411215</v>
      </c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</row>
    <row r="264" hidden="1" spans="1:23">
      <c r="A264" s="24"/>
      <c r="B264" s="27"/>
      <c r="C264" s="26"/>
      <c r="D264" s="26"/>
      <c r="E264" s="26"/>
      <c r="F264" s="26"/>
      <c r="G264" s="23"/>
      <c r="H264" s="23"/>
      <c r="I264" s="23"/>
      <c r="J264" s="23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</row>
    <row r="265" spans="1:23">
      <c r="A265" s="20" t="s">
        <v>196</v>
      </c>
      <c r="B265" s="21" t="s">
        <v>197</v>
      </c>
      <c r="C265" s="22"/>
      <c r="D265" s="22"/>
      <c r="E265" s="22"/>
      <c r="F265" s="22"/>
      <c r="G265" s="23"/>
      <c r="H265" s="23"/>
      <c r="I265" s="23"/>
      <c r="J265" s="23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</row>
    <row r="266" spans="1:23">
      <c r="A266" s="24">
        <v>1</v>
      </c>
      <c r="B266" s="27" t="s">
        <v>198</v>
      </c>
      <c r="C266" s="26"/>
      <c r="D266" s="26"/>
      <c r="E266" s="26"/>
      <c r="F266" s="26"/>
      <c r="G266" s="23"/>
      <c r="H266" s="23"/>
      <c r="I266" s="23">
        <f>SUM(H267:H268)</f>
        <v>21200000</v>
      </c>
      <c r="J266" s="23">
        <f t="shared" ref="J266:J282" si="74">I266/$I$315*100</f>
        <v>2.47663551401869</v>
      </c>
      <c r="K266" s="37"/>
      <c r="L266" s="37"/>
      <c r="M266" s="37"/>
      <c r="N266" s="37"/>
      <c r="O266" s="37"/>
      <c r="P266" s="37"/>
      <c r="Q266" s="37"/>
      <c r="R266" s="37"/>
      <c r="S266" s="39">
        <f>$J$266/2</f>
        <v>1.23831775700935</v>
      </c>
      <c r="T266" s="39">
        <f>$J$266/2</f>
        <v>1.23831775700935</v>
      </c>
      <c r="U266" s="37"/>
      <c r="V266" s="37"/>
      <c r="W266" s="37"/>
    </row>
    <row r="267" hidden="1" spans="1:23">
      <c r="A267" s="24" t="s">
        <v>45</v>
      </c>
      <c r="B267" s="28" t="s">
        <v>199</v>
      </c>
      <c r="C267" s="26" t="s">
        <v>63</v>
      </c>
      <c r="D267" s="26">
        <v>2</v>
      </c>
      <c r="E267" s="26"/>
      <c r="F267" s="26">
        <v>0</v>
      </c>
      <c r="G267" s="23">
        <v>9000000</v>
      </c>
      <c r="H267" s="26">
        <f t="shared" ref="H267:I268" si="75">D267*G267</f>
        <v>18000000</v>
      </c>
      <c r="I267" s="26">
        <f t="shared" si="75"/>
        <v>0</v>
      </c>
      <c r="J267" s="23">
        <f t="shared" si="74"/>
        <v>0</v>
      </c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</row>
    <row r="268" ht="28.8" hidden="1" spans="1:23">
      <c r="A268" s="24" t="s">
        <v>48</v>
      </c>
      <c r="B268" s="29" t="s">
        <v>200</v>
      </c>
      <c r="C268" s="26" t="s">
        <v>63</v>
      </c>
      <c r="D268" s="26">
        <v>2</v>
      </c>
      <c r="E268" s="26"/>
      <c r="F268" s="26">
        <v>0</v>
      </c>
      <c r="G268" s="23">
        <v>1600000</v>
      </c>
      <c r="H268" s="26">
        <f t="shared" si="75"/>
        <v>3200000</v>
      </c>
      <c r="I268" s="26">
        <f t="shared" si="75"/>
        <v>0</v>
      </c>
      <c r="J268" s="23">
        <f t="shared" si="74"/>
        <v>0</v>
      </c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</row>
    <row r="269" hidden="1" spans="1:23">
      <c r="A269" s="24"/>
      <c r="B269" s="29"/>
      <c r="C269" s="26"/>
      <c r="D269" s="26"/>
      <c r="E269" s="26"/>
      <c r="F269" s="26"/>
      <c r="G269" s="23"/>
      <c r="H269" s="23"/>
      <c r="I269" s="23"/>
      <c r="J269" s="23">
        <f t="shared" si="74"/>
        <v>0</v>
      </c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</row>
    <row r="270" ht="28.8" spans="1:23">
      <c r="A270" s="24">
        <v>2</v>
      </c>
      <c r="B270" s="29" t="s">
        <v>201</v>
      </c>
      <c r="C270" s="26" t="s">
        <v>55</v>
      </c>
      <c r="D270" s="26">
        <v>30</v>
      </c>
      <c r="E270" s="26"/>
      <c r="F270" s="26">
        <v>0</v>
      </c>
      <c r="G270" s="23">
        <v>280000</v>
      </c>
      <c r="H270" s="26">
        <f>D270*G270</f>
        <v>8400000</v>
      </c>
      <c r="I270" s="26">
        <f>H270</f>
        <v>8400000</v>
      </c>
      <c r="J270" s="23">
        <f t="shared" si="74"/>
        <v>0.981308411214953</v>
      </c>
      <c r="K270" s="37"/>
      <c r="L270" s="37"/>
      <c r="M270" s="37"/>
      <c r="N270" s="39">
        <f>$J$270/3</f>
        <v>0.327102803738318</v>
      </c>
      <c r="O270" s="37"/>
      <c r="P270" s="39">
        <f t="shared" ref="P270:Q270" si="76">$J$270/3</f>
        <v>0.327102803738318</v>
      </c>
      <c r="Q270" s="39">
        <f t="shared" si="76"/>
        <v>0.327102803738318</v>
      </c>
      <c r="R270" s="37"/>
      <c r="S270" s="37"/>
      <c r="T270" s="37"/>
      <c r="U270" s="37"/>
      <c r="V270" s="37"/>
      <c r="W270" s="37"/>
    </row>
    <row r="271" hidden="1" spans="1:23">
      <c r="A271" s="24"/>
      <c r="B271" s="29"/>
      <c r="C271" s="26"/>
      <c r="D271" s="26"/>
      <c r="E271" s="26"/>
      <c r="F271" s="26"/>
      <c r="G271" s="23"/>
      <c r="H271" s="23"/>
      <c r="I271" s="23"/>
      <c r="J271" s="23">
        <f t="shared" si="74"/>
        <v>0</v>
      </c>
      <c r="K271" s="37"/>
      <c r="L271" s="37"/>
      <c r="M271" s="37"/>
      <c r="N271" s="39"/>
      <c r="O271" s="39"/>
      <c r="P271" s="39"/>
      <c r="Q271" s="37"/>
      <c r="R271" s="37"/>
      <c r="S271" s="37"/>
      <c r="T271" s="37"/>
      <c r="U271" s="37"/>
      <c r="V271" s="37"/>
      <c r="W271" s="37"/>
    </row>
    <row r="272" spans="1:23">
      <c r="A272" s="24">
        <v>3</v>
      </c>
      <c r="B272" s="29" t="s">
        <v>202</v>
      </c>
      <c r="C272" s="26"/>
      <c r="D272" s="26"/>
      <c r="E272" s="26"/>
      <c r="F272" s="26"/>
      <c r="G272" s="23"/>
      <c r="H272" s="23"/>
      <c r="I272" s="23">
        <f>SUM(H273:H274)</f>
        <v>3810000</v>
      </c>
      <c r="J272" s="23">
        <f t="shared" si="74"/>
        <v>0.445093457943925</v>
      </c>
      <c r="K272" s="37"/>
      <c r="L272" s="37"/>
      <c r="M272" s="37"/>
      <c r="N272" s="39">
        <f>$J$272/3</f>
        <v>0.148364485981308</v>
      </c>
      <c r="O272" s="39">
        <f t="shared" ref="O272:P272" si="77">$J$272/3</f>
        <v>0.148364485981308</v>
      </c>
      <c r="P272" s="39">
        <f t="shared" si="77"/>
        <v>0.148364485981308</v>
      </c>
      <c r="Q272" s="37"/>
      <c r="R272" s="37"/>
      <c r="S272" s="37"/>
      <c r="T272" s="37"/>
      <c r="U272" s="37"/>
      <c r="V272" s="37"/>
      <c r="W272" s="37"/>
    </row>
    <row r="273" hidden="1" spans="1:23">
      <c r="A273" s="24" t="s">
        <v>45</v>
      </c>
      <c r="B273" s="29" t="s">
        <v>203</v>
      </c>
      <c r="C273" s="26" t="s">
        <v>55</v>
      </c>
      <c r="D273" s="26">
        <v>30</v>
      </c>
      <c r="E273" s="26"/>
      <c r="F273" s="26">
        <v>0</v>
      </c>
      <c r="G273" s="23">
        <v>40000</v>
      </c>
      <c r="H273" s="26">
        <f t="shared" ref="H273:I274" si="78">D273*G273</f>
        <v>1200000</v>
      </c>
      <c r="I273" s="26">
        <f t="shared" si="78"/>
        <v>0</v>
      </c>
      <c r="J273" s="23">
        <f t="shared" si="74"/>
        <v>0</v>
      </c>
      <c r="K273" s="37"/>
      <c r="L273" s="37"/>
      <c r="M273" s="37"/>
      <c r="N273" s="39"/>
      <c r="O273" s="39"/>
      <c r="P273" s="39"/>
      <c r="Q273" s="37"/>
      <c r="R273" s="37"/>
      <c r="S273" s="37"/>
      <c r="T273" s="37"/>
      <c r="U273" s="37"/>
      <c r="V273" s="37"/>
      <c r="W273" s="37"/>
    </row>
    <row r="274" hidden="1" spans="1:23">
      <c r="A274" s="24" t="s">
        <v>48</v>
      </c>
      <c r="B274" s="29" t="s">
        <v>204</v>
      </c>
      <c r="C274" s="26" t="s">
        <v>55</v>
      </c>
      <c r="D274" s="26">
        <v>29</v>
      </c>
      <c r="E274" s="26"/>
      <c r="F274" s="26">
        <v>0</v>
      </c>
      <c r="G274" s="23">
        <v>90000</v>
      </c>
      <c r="H274" s="26">
        <f t="shared" si="78"/>
        <v>2610000</v>
      </c>
      <c r="I274" s="26">
        <f t="shared" si="78"/>
        <v>0</v>
      </c>
      <c r="J274" s="23">
        <f t="shared" si="74"/>
        <v>0</v>
      </c>
      <c r="K274" s="37"/>
      <c r="L274" s="37"/>
      <c r="M274" s="37"/>
      <c r="N274" s="39"/>
      <c r="O274" s="39"/>
      <c r="P274" s="39"/>
      <c r="Q274" s="37"/>
      <c r="R274" s="37"/>
      <c r="S274" s="37"/>
      <c r="T274" s="37"/>
      <c r="U274" s="37"/>
      <c r="V274" s="37"/>
      <c r="W274" s="37"/>
    </row>
    <row r="275" hidden="1" spans="1:23">
      <c r="A275" s="24"/>
      <c r="B275" s="29"/>
      <c r="C275" s="26"/>
      <c r="D275" s="26"/>
      <c r="E275" s="26"/>
      <c r="F275" s="26"/>
      <c r="G275" s="23"/>
      <c r="H275" s="23"/>
      <c r="I275" s="23"/>
      <c r="J275" s="23">
        <f t="shared" si="74"/>
        <v>0</v>
      </c>
      <c r="K275" s="37"/>
      <c r="L275" s="37"/>
      <c r="M275" s="37"/>
      <c r="N275" s="39"/>
      <c r="O275" s="39"/>
      <c r="P275" s="39"/>
      <c r="Q275" s="37"/>
      <c r="R275" s="37"/>
      <c r="S275" s="37"/>
      <c r="T275" s="37"/>
      <c r="U275" s="37"/>
      <c r="V275" s="37"/>
      <c r="W275" s="37"/>
    </row>
    <row r="276" spans="1:23">
      <c r="A276" s="24">
        <v>4</v>
      </c>
      <c r="B276" s="28" t="s">
        <v>205</v>
      </c>
      <c r="C276" s="26" t="s">
        <v>55</v>
      </c>
      <c r="D276" s="26">
        <v>39</v>
      </c>
      <c r="E276" s="26"/>
      <c r="F276" s="26">
        <v>0</v>
      </c>
      <c r="G276" s="23">
        <v>75000</v>
      </c>
      <c r="H276" s="26">
        <f>D276*G276</f>
        <v>2925000</v>
      </c>
      <c r="I276" s="26">
        <f>H276</f>
        <v>2925000</v>
      </c>
      <c r="J276" s="23">
        <f t="shared" si="74"/>
        <v>0.341705607476636</v>
      </c>
      <c r="K276" s="37"/>
      <c r="L276" s="37"/>
      <c r="M276" s="37"/>
      <c r="N276" s="39">
        <f>$J$276/3</f>
        <v>0.113901869158879</v>
      </c>
      <c r="O276" s="39">
        <f t="shared" ref="O276:P276" si="79">$J$276/3</f>
        <v>0.113901869158879</v>
      </c>
      <c r="P276" s="39">
        <f t="shared" si="79"/>
        <v>0.113901869158879</v>
      </c>
      <c r="Q276" s="37"/>
      <c r="R276" s="37"/>
      <c r="S276" s="37"/>
      <c r="T276" s="37"/>
      <c r="U276" s="37"/>
      <c r="V276" s="37"/>
      <c r="W276" s="37"/>
    </row>
    <row r="277" hidden="1" spans="1:23">
      <c r="A277" s="24"/>
      <c r="B277" s="28"/>
      <c r="C277" s="26"/>
      <c r="D277" s="26"/>
      <c r="E277" s="26"/>
      <c r="F277" s="26"/>
      <c r="G277" s="23"/>
      <c r="H277" s="23"/>
      <c r="I277" s="23"/>
      <c r="J277" s="23">
        <f t="shared" si="74"/>
        <v>0</v>
      </c>
      <c r="K277" s="37"/>
      <c r="L277" s="37"/>
      <c r="M277" s="37"/>
      <c r="N277" s="39"/>
      <c r="O277" s="39"/>
      <c r="P277" s="39"/>
      <c r="Q277" s="37"/>
      <c r="R277" s="37"/>
      <c r="S277" s="37"/>
      <c r="T277" s="37"/>
      <c r="U277" s="37"/>
      <c r="V277" s="37"/>
      <c r="W277" s="37"/>
    </row>
    <row r="278" ht="28.8" spans="1:23">
      <c r="A278" s="24">
        <v>5</v>
      </c>
      <c r="B278" s="27" t="s">
        <v>206</v>
      </c>
      <c r="C278" s="26"/>
      <c r="D278" s="26"/>
      <c r="E278" s="26"/>
      <c r="F278" s="26"/>
      <c r="G278" s="23"/>
      <c r="H278" s="23"/>
      <c r="I278" s="23">
        <f>SUM(H279:H280)</f>
        <v>2925000</v>
      </c>
      <c r="J278" s="23">
        <f t="shared" si="74"/>
        <v>0.341705607476636</v>
      </c>
      <c r="K278" s="37"/>
      <c r="L278" s="37"/>
      <c r="M278" s="37"/>
      <c r="N278" s="39">
        <f>$J$278/3</f>
        <v>0.113901869158879</v>
      </c>
      <c r="O278" s="39">
        <f t="shared" ref="O278:P278" si="80">$J$278/3</f>
        <v>0.113901869158879</v>
      </c>
      <c r="P278" s="39">
        <f t="shared" si="80"/>
        <v>0.113901869158879</v>
      </c>
      <c r="Q278" s="37"/>
      <c r="R278" s="37"/>
      <c r="S278" s="37"/>
      <c r="T278" s="37"/>
      <c r="U278" s="37"/>
      <c r="V278" s="37"/>
      <c r="W278" s="37"/>
    </row>
    <row r="279" hidden="1" spans="1:23">
      <c r="A279" s="24" t="s">
        <v>45</v>
      </c>
      <c r="B279" s="29" t="s">
        <v>69</v>
      </c>
      <c r="C279" s="26" t="s">
        <v>55</v>
      </c>
      <c r="D279" s="26">
        <v>3</v>
      </c>
      <c r="E279" s="26"/>
      <c r="F279" s="26">
        <v>0</v>
      </c>
      <c r="G279" s="23">
        <v>325000</v>
      </c>
      <c r="H279" s="26">
        <f t="shared" ref="H279:I280" si="81">D279*G279</f>
        <v>975000</v>
      </c>
      <c r="I279" s="26">
        <f t="shared" si="81"/>
        <v>0</v>
      </c>
      <c r="J279" s="23">
        <f t="shared" si="74"/>
        <v>0</v>
      </c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</row>
    <row r="280" hidden="1" spans="1:23">
      <c r="A280" s="24" t="s">
        <v>48</v>
      </c>
      <c r="B280" s="29" t="s">
        <v>70</v>
      </c>
      <c r="C280" s="26" t="s">
        <v>55</v>
      </c>
      <c r="D280" s="26">
        <v>6</v>
      </c>
      <c r="E280" s="26"/>
      <c r="F280" s="26">
        <v>0</v>
      </c>
      <c r="G280" s="23">
        <v>325000</v>
      </c>
      <c r="H280" s="26">
        <f t="shared" si="81"/>
        <v>1950000</v>
      </c>
      <c r="I280" s="26">
        <f t="shared" si="81"/>
        <v>0</v>
      </c>
      <c r="J280" s="23">
        <f t="shared" si="74"/>
        <v>0</v>
      </c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</row>
    <row r="281" hidden="1" spans="1:23">
      <c r="A281" s="24"/>
      <c r="B281" s="29"/>
      <c r="C281" s="26"/>
      <c r="D281" s="26"/>
      <c r="E281" s="26"/>
      <c r="F281" s="26"/>
      <c r="G281" s="23"/>
      <c r="H281" s="23"/>
      <c r="I281" s="23"/>
      <c r="J281" s="23">
        <f t="shared" si="74"/>
        <v>0</v>
      </c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</row>
    <row r="282" spans="1:23">
      <c r="A282" s="24">
        <v>6</v>
      </c>
      <c r="B282" s="29" t="s">
        <v>207</v>
      </c>
      <c r="C282" s="26" t="s">
        <v>143</v>
      </c>
      <c r="D282" s="26">
        <v>2</v>
      </c>
      <c r="E282" s="26"/>
      <c r="F282" s="26">
        <v>0</v>
      </c>
      <c r="G282" s="23">
        <v>400000</v>
      </c>
      <c r="H282" s="26">
        <f>D282*G282</f>
        <v>800000</v>
      </c>
      <c r="I282" s="26">
        <f>H282</f>
        <v>800000</v>
      </c>
      <c r="J282" s="23">
        <f t="shared" si="74"/>
        <v>0.0934579439252337</v>
      </c>
      <c r="K282" s="37"/>
      <c r="L282" s="37"/>
      <c r="M282" s="37"/>
      <c r="N282" s="37"/>
      <c r="O282" s="37"/>
      <c r="P282" s="37"/>
      <c r="Q282" s="37"/>
      <c r="R282" s="37"/>
      <c r="S282" s="39">
        <f>$J$282/2</f>
        <v>0.0467289719626168</v>
      </c>
      <c r="T282" s="39">
        <f>$J$282/2</f>
        <v>0.0467289719626168</v>
      </c>
      <c r="U282" s="37"/>
      <c r="V282" s="37"/>
      <c r="W282" s="37"/>
    </row>
    <row r="283" hidden="1" spans="1:23">
      <c r="A283" s="24"/>
      <c r="B283" s="29"/>
      <c r="C283" s="26"/>
      <c r="D283" s="26"/>
      <c r="E283" s="26"/>
      <c r="F283" s="26"/>
      <c r="G283" s="23"/>
      <c r="H283" s="23"/>
      <c r="I283" s="23"/>
      <c r="J283" s="23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</row>
    <row r="284" hidden="1" spans="1:23">
      <c r="A284" s="24"/>
      <c r="B284" s="29"/>
      <c r="C284" s="26"/>
      <c r="D284" s="26"/>
      <c r="E284" s="22" t="s">
        <v>208</v>
      </c>
      <c r="F284" s="22">
        <v>0</v>
      </c>
      <c r="G284" s="40"/>
      <c r="H284" s="22">
        <f>SUM(H266:H283)</f>
        <v>40060000</v>
      </c>
      <c r="I284" s="22">
        <f>SUM(I266:I283)</f>
        <v>40060000</v>
      </c>
      <c r="J284" s="38">
        <f>SUM(J266:J283)</f>
        <v>4.67990654205607</v>
      </c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</row>
    <row r="285" hidden="1" spans="1:23">
      <c r="A285" s="24"/>
      <c r="B285" s="27"/>
      <c r="C285" s="26"/>
      <c r="D285" s="26"/>
      <c r="E285" s="26"/>
      <c r="F285" s="26"/>
      <c r="G285" s="23"/>
      <c r="H285" s="23"/>
      <c r="I285" s="23"/>
      <c r="J285" s="23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</row>
    <row r="286" spans="1:23">
      <c r="A286" s="20" t="s">
        <v>209</v>
      </c>
      <c r="B286" s="21" t="s">
        <v>210</v>
      </c>
      <c r="C286" s="22"/>
      <c r="D286" s="22"/>
      <c r="E286" s="22"/>
      <c r="F286" s="22"/>
      <c r="G286" s="23"/>
      <c r="H286" s="23"/>
      <c r="I286" s="23">
        <f>SUM(H287:H290)</f>
        <v>7500000</v>
      </c>
      <c r="J286" s="23">
        <f>I286/$I$315*100</f>
        <v>0.876168224299065</v>
      </c>
      <c r="K286" s="37"/>
      <c r="L286" s="37"/>
      <c r="M286" s="37"/>
      <c r="N286" s="37"/>
      <c r="O286" s="37"/>
      <c r="P286" s="39">
        <f>$J$286/6</f>
        <v>0.146028037383178</v>
      </c>
      <c r="Q286" s="39">
        <f t="shared" ref="Q286:U286" si="82">$J$286/6</f>
        <v>0.146028037383178</v>
      </c>
      <c r="R286" s="39">
        <f t="shared" si="82"/>
        <v>0.146028037383178</v>
      </c>
      <c r="S286" s="39">
        <f t="shared" si="82"/>
        <v>0.146028037383178</v>
      </c>
      <c r="T286" s="39">
        <f t="shared" si="82"/>
        <v>0.146028037383178</v>
      </c>
      <c r="U286" s="39">
        <f t="shared" si="82"/>
        <v>0.146028037383178</v>
      </c>
      <c r="V286" s="37"/>
      <c r="W286" s="37"/>
    </row>
    <row r="287" ht="28.8" hidden="1" spans="1:23">
      <c r="A287" s="24">
        <v>1</v>
      </c>
      <c r="B287" s="27" t="s">
        <v>211</v>
      </c>
      <c r="C287" s="26" t="s">
        <v>31</v>
      </c>
      <c r="D287" s="26">
        <v>1</v>
      </c>
      <c r="E287" s="26"/>
      <c r="F287" s="26">
        <v>0</v>
      </c>
      <c r="G287" s="23">
        <v>4000000</v>
      </c>
      <c r="H287" s="26">
        <f t="shared" ref="H287:H288" si="83">D287*G287</f>
        <v>4000000</v>
      </c>
      <c r="I287" s="26"/>
      <c r="J287" s="36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</row>
    <row r="288" hidden="1" spans="1:23">
      <c r="A288" s="24">
        <v>2</v>
      </c>
      <c r="B288" s="27" t="s">
        <v>212</v>
      </c>
      <c r="C288" s="26" t="s">
        <v>31</v>
      </c>
      <c r="D288" s="26">
        <v>1</v>
      </c>
      <c r="E288" s="26"/>
      <c r="F288" s="26">
        <v>0</v>
      </c>
      <c r="G288" s="23">
        <v>2000000</v>
      </c>
      <c r="H288" s="26">
        <f t="shared" si="83"/>
        <v>2000000</v>
      </c>
      <c r="I288" s="26"/>
      <c r="J288" s="36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</row>
    <row r="289" hidden="1" spans="1:23">
      <c r="A289" s="24">
        <v>3</v>
      </c>
      <c r="B289" s="27" t="s">
        <v>213</v>
      </c>
      <c r="C289" s="26" t="s">
        <v>31</v>
      </c>
      <c r="D289" s="26">
        <v>1</v>
      </c>
      <c r="E289" s="26"/>
      <c r="F289" s="26">
        <v>0</v>
      </c>
      <c r="G289" s="23">
        <v>1500000</v>
      </c>
      <c r="H289" s="26">
        <v>1500000</v>
      </c>
      <c r="I289" s="26"/>
      <c r="J289" s="36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</row>
    <row r="290" hidden="1" spans="1:23">
      <c r="A290" s="24"/>
      <c r="B290" s="27"/>
      <c r="C290" s="26"/>
      <c r="D290" s="26"/>
      <c r="E290" s="26"/>
      <c r="F290" s="26"/>
      <c r="G290" s="23"/>
      <c r="H290" s="23"/>
      <c r="I290" s="23"/>
      <c r="J290" s="23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</row>
    <row r="291" hidden="1" spans="1:23">
      <c r="A291" s="24"/>
      <c r="B291" s="27"/>
      <c r="C291" s="26"/>
      <c r="D291" s="26"/>
      <c r="E291" s="22" t="s">
        <v>214</v>
      </c>
      <c r="F291" s="26">
        <v>0</v>
      </c>
      <c r="G291" s="23"/>
      <c r="H291" s="22">
        <f>SUM(H287:H290)</f>
        <v>7500000</v>
      </c>
      <c r="I291" s="22">
        <f>H291</f>
        <v>7500000</v>
      </c>
      <c r="J291" s="38">
        <f>SUM(J286:J290)</f>
        <v>0.876168224299065</v>
      </c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</row>
    <row r="292" hidden="1" spans="1:23">
      <c r="A292" s="24"/>
      <c r="B292" s="27"/>
      <c r="C292" s="26"/>
      <c r="D292" s="26"/>
      <c r="E292" s="26"/>
      <c r="F292" s="26"/>
      <c r="G292" s="23"/>
      <c r="H292" s="23"/>
      <c r="I292" s="23"/>
      <c r="J292" s="23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</row>
    <row r="293" spans="1:23">
      <c r="A293" s="20" t="s">
        <v>215</v>
      </c>
      <c r="B293" s="21" t="s">
        <v>216</v>
      </c>
      <c r="C293" s="22"/>
      <c r="D293" s="22"/>
      <c r="E293" s="22"/>
      <c r="F293" s="22"/>
      <c r="G293" s="23"/>
      <c r="H293" s="23"/>
      <c r="I293" s="23">
        <f>SUM(H294:H295)</f>
        <v>7250000</v>
      </c>
      <c r="J293" s="23">
        <f>I293/$I$315*100</f>
        <v>0.84696261682243</v>
      </c>
      <c r="K293" s="37"/>
      <c r="L293" s="37"/>
      <c r="M293" s="37"/>
      <c r="N293" s="37"/>
      <c r="O293" s="37"/>
      <c r="P293" s="39">
        <f>$J$293/6</f>
        <v>0.141160436137072</v>
      </c>
      <c r="Q293" s="39">
        <f t="shared" ref="Q293:U293" si="84">$J$293/6</f>
        <v>0.141160436137072</v>
      </c>
      <c r="R293" s="39">
        <f t="shared" si="84"/>
        <v>0.141160436137072</v>
      </c>
      <c r="S293" s="39">
        <f t="shared" si="84"/>
        <v>0.141160436137072</v>
      </c>
      <c r="T293" s="39">
        <f t="shared" si="84"/>
        <v>0.141160436137072</v>
      </c>
      <c r="U293" s="39">
        <f t="shared" si="84"/>
        <v>0.141160436137072</v>
      </c>
      <c r="V293" s="37"/>
      <c r="W293" s="37"/>
    </row>
    <row r="294" hidden="1" spans="1:23">
      <c r="A294" s="24">
        <v>1</v>
      </c>
      <c r="B294" s="27" t="s">
        <v>217</v>
      </c>
      <c r="C294" s="26" t="s">
        <v>152</v>
      </c>
      <c r="D294" s="26">
        <v>1</v>
      </c>
      <c r="E294" s="26"/>
      <c r="F294" s="26">
        <v>0</v>
      </c>
      <c r="G294" s="23">
        <v>3500000</v>
      </c>
      <c r="H294" s="26">
        <v>3500000</v>
      </c>
      <c r="I294" s="26"/>
      <c r="J294" s="36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</row>
    <row r="295" ht="28.8" hidden="1" spans="1:23">
      <c r="A295" s="24">
        <v>2</v>
      </c>
      <c r="B295" s="27" t="s">
        <v>218</v>
      </c>
      <c r="C295" s="26" t="s">
        <v>156</v>
      </c>
      <c r="D295" s="26">
        <v>5</v>
      </c>
      <c r="E295" s="26"/>
      <c r="F295" s="26">
        <v>0</v>
      </c>
      <c r="G295" s="23">
        <v>750000</v>
      </c>
      <c r="H295" s="26">
        <f t="shared" ref="H295" si="85">D295*G295</f>
        <v>3750000</v>
      </c>
      <c r="I295" s="26"/>
      <c r="J295" s="36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</row>
    <row r="296" hidden="1" spans="1:23">
      <c r="A296" s="24"/>
      <c r="B296" s="27"/>
      <c r="C296" s="26"/>
      <c r="D296" s="26"/>
      <c r="E296" s="26"/>
      <c r="F296" s="26"/>
      <c r="G296" s="23"/>
      <c r="H296" s="23"/>
      <c r="I296" s="23"/>
      <c r="J296" s="23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</row>
    <row r="297" hidden="1" spans="1:23">
      <c r="A297" s="24"/>
      <c r="B297" s="27"/>
      <c r="C297" s="26"/>
      <c r="D297" s="26"/>
      <c r="E297" s="22" t="s">
        <v>219</v>
      </c>
      <c r="F297" s="26">
        <v>0</v>
      </c>
      <c r="G297" s="23"/>
      <c r="H297" s="22">
        <f>SUM(H294:H296)</f>
        <v>7250000</v>
      </c>
      <c r="I297" s="22">
        <f>SUM(I293:I296)</f>
        <v>7250000</v>
      </c>
      <c r="J297" s="38">
        <f>SUM(J293:J296)</f>
        <v>0.84696261682243</v>
      </c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</row>
    <row r="298" hidden="1" spans="1:23">
      <c r="A298" s="24"/>
      <c r="B298" s="27"/>
      <c r="C298" s="26"/>
      <c r="D298" s="26"/>
      <c r="E298" s="26"/>
      <c r="F298" s="26"/>
      <c r="G298" s="23"/>
      <c r="H298" s="23"/>
      <c r="I298" s="23"/>
      <c r="J298" s="23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</row>
    <row r="299" spans="1:23">
      <c r="A299" s="20" t="s">
        <v>220</v>
      </c>
      <c r="B299" s="21" t="s">
        <v>221</v>
      </c>
      <c r="C299" s="22"/>
      <c r="D299" s="22"/>
      <c r="E299" s="22"/>
      <c r="F299" s="22"/>
      <c r="G299" s="23"/>
      <c r="H299" s="23"/>
      <c r="I299" s="23">
        <f>SUM(H300:H302)</f>
        <v>14700000</v>
      </c>
      <c r="J299" s="23">
        <f>I299/$I$315*100</f>
        <v>1.71728971962617</v>
      </c>
      <c r="K299" s="37"/>
      <c r="L299" s="37"/>
      <c r="M299" s="37"/>
      <c r="N299" s="37"/>
      <c r="O299" s="37"/>
      <c r="P299" s="39">
        <f>$J$299/6</f>
        <v>0.286214953271028</v>
      </c>
      <c r="Q299" s="39">
        <f t="shared" ref="Q299:U299" si="86">$J$299/6</f>
        <v>0.286214953271028</v>
      </c>
      <c r="R299" s="39">
        <f t="shared" si="86"/>
        <v>0.286214953271028</v>
      </c>
      <c r="S299" s="39">
        <f t="shared" si="86"/>
        <v>0.286214953271028</v>
      </c>
      <c r="T299" s="39">
        <f t="shared" si="86"/>
        <v>0.286214953271028</v>
      </c>
      <c r="U299" s="39">
        <f t="shared" si="86"/>
        <v>0.286214953271028</v>
      </c>
      <c r="V299" s="37"/>
      <c r="W299" s="37"/>
    </row>
    <row r="300" hidden="1" spans="1:23">
      <c r="A300" s="24">
        <v>1</v>
      </c>
      <c r="B300" s="27" t="s">
        <v>222</v>
      </c>
      <c r="C300" s="26" t="s">
        <v>55</v>
      </c>
      <c r="D300" s="26">
        <v>130</v>
      </c>
      <c r="E300" s="26"/>
      <c r="F300" s="26">
        <v>0</v>
      </c>
      <c r="G300" s="23">
        <v>40000</v>
      </c>
      <c r="H300" s="26">
        <f t="shared" ref="H300:J301" si="87">D300*G300</f>
        <v>5200000</v>
      </c>
      <c r="I300" s="26">
        <f t="shared" si="87"/>
        <v>0</v>
      </c>
      <c r="J300" s="36">
        <f t="shared" si="87"/>
        <v>0</v>
      </c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</row>
    <row r="301" hidden="1" spans="1:23">
      <c r="A301" s="24">
        <v>2</v>
      </c>
      <c r="B301" s="27" t="s">
        <v>223</v>
      </c>
      <c r="C301" s="26" t="s">
        <v>63</v>
      </c>
      <c r="D301" s="26">
        <v>1</v>
      </c>
      <c r="E301" s="26"/>
      <c r="F301" s="26">
        <v>0</v>
      </c>
      <c r="G301" s="23">
        <v>9500000</v>
      </c>
      <c r="H301" s="26">
        <f t="shared" si="87"/>
        <v>9500000</v>
      </c>
      <c r="I301" s="26">
        <f t="shared" si="87"/>
        <v>0</v>
      </c>
      <c r="J301" s="36">
        <f t="shared" si="87"/>
        <v>0</v>
      </c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</row>
    <row r="302" hidden="1" spans="1:23">
      <c r="A302" s="24"/>
      <c r="B302" s="27"/>
      <c r="C302" s="26"/>
      <c r="D302" s="26"/>
      <c r="E302" s="26"/>
      <c r="F302" s="26"/>
      <c r="G302" s="23"/>
      <c r="H302" s="23"/>
      <c r="I302" s="23"/>
      <c r="J302" s="23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</row>
    <row r="303" hidden="1" spans="1:23">
      <c r="A303" s="24"/>
      <c r="B303" s="27"/>
      <c r="C303" s="26"/>
      <c r="D303" s="26"/>
      <c r="E303" s="22" t="s">
        <v>224</v>
      </c>
      <c r="F303" s="26">
        <v>0</v>
      </c>
      <c r="G303" s="23"/>
      <c r="H303" s="22">
        <f>SUM(H300:H302)</f>
        <v>14700000</v>
      </c>
      <c r="I303" s="22">
        <f>SUM(I299:I302)</f>
        <v>14700000</v>
      </c>
      <c r="J303" s="38">
        <f>SUM(J299:J302)</f>
        <v>1.71728971962617</v>
      </c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</row>
    <row r="304" hidden="1" spans="1:23">
      <c r="A304" s="24"/>
      <c r="B304" s="27"/>
      <c r="C304" s="26"/>
      <c r="D304" s="26"/>
      <c r="E304" s="26"/>
      <c r="F304" s="26"/>
      <c r="G304" s="23"/>
      <c r="H304" s="23"/>
      <c r="I304" s="23"/>
      <c r="J304" s="23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</row>
    <row r="305" spans="1:23">
      <c r="A305" s="20" t="s">
        <v>225</v>
      </c>
      <c r="B305" s="21" t="s">
        <v>226</v>
      </c>
      <c r="C305" s="22"/>
      <c r="D305" s="22"/>
      <c r="E305" s="22"/>
      <c r="F305" s="22"/>
      <c r="G305" s="23"/>
      <c r="H305" s="23"/>
      <c r="I305" s="23">
        <f>SUM(H306:H308)</f>
        <v>12768000</v>
      </c>
      <c r="J305" s="23">
        <f>I305/$I$315*100</f>
        <v>1.49158878504673</v>
      </c>
      <c r="K305" s="37"/>
      <c r="L305" s="37"/>
      <c r="M305" s="37"/>
      <c r="N305" s="37"/>
      <c r="O305" s="37"/>
      <c r="P305" s="39">
        <f>$J$305/6</f>
        <v>0.248598130841121</v>
      </c>
      <c r="Q305" s="39">
        <f t="shared" ref="Q305:U305" si="88">$J$305/6</f>
        <v>0.248598130841121</v>
      </c>
      <c r="R305" s="39">
        <f t="shared" si="88"/>
        <v>0.248598130841121</v>
      </c>
      <c r="S305" s="39">
        <f t="shared" si="88"/>
        <v>0.248598130841121</v>
      </c>
      <c r="T305" s="39">
        <f t="shared" si="88"/>
        <v>0.248598130841121</v>
      </c>
      <c r="U305" s="39">
        <f t="shared" si="88"/>
        <v>0.248598130841121</v>
      </c>
      <c r="V305" s="37"/>
      <c r="W305" s="37"/>
    </row>
    <row r="306" ht="28.8" hidden="1" spans="1:23">
      <c r="A306" s="24">
        <v>1</v>
      </c>
      <c r="B306" s="27" t="s">
        <v>227</v>
      </c>
      <c r="C306" s="26" t="s">
        <v>143</v>
      </c>
      <c r="D306" s="26">
        <v>3</v>
      </c>
      <c r="E306" s="26"/>
      <c r="F306" s="26">
        <v>0</v>
      </c>
      <c r="G306" s="23">
        <v>1500000</v>
      </c>
      <c r="H306" s="26">
        <f t="shared" ref="H306:J308" si="89">D306*G306</f>
        <v>4500000</v>
      </c>
      <c r="I306" s="26">
        <f t="shared" si="89"/>
        <v>0</v>
      </c>
      <c r="J306" s="36">
        <f t="shared" si="89"/>
        <v>0</v>
      </c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</row>
    <row r="307" hidden="1" spans="1:23">
      <c r="A307" s="24">
        <v>2</v>
      </c>
      <c r="B307" s="27" t="s">
        <v>228</v>
      </c>
      <c r="C307" s="26" t="s">
        <v>63</v>
      </c>
      <c r="D307" s="26">
        <v>1</v>
      </c>
      <c r="E307" s="26"/>
      <c r="F307" s="26">
        <v>0</v>
      </c>
      <c r="G307" s="23">
        <v>1800000</v>
      </c>
      <c r="H307" s="26">
        <f t="shared" si="89"/>
        <v>1800000</v>
      </c>
      <c r="I307" s="26">
        <f t="shared" si="89"/>
        <v>0</v>
      </c>
      <c r="J307" s="36">
        <f t="shared" si="89"/>
        <v>0</v>
      </c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</row>
    <row r="308" ht="28.8" hidden="1" spans="1:23">
      <c r="A308" s="24">
        <v>3</v>
      </c>
      <c r="B308" s="27" t="s">
        <v>229</v>
      </c>
      <c r="C308" s="26" t="s">
        <v>55</v>
      </c>
      <c r="D308" s="26">
        <v>161.7</v>
      </c>
      <c r="E308" s="26"/>
      <c r="F308" s="26">
        <v>0</v>
      </c>
      <c r="G308" s="23">
        <v>40000</v>
      </c>
      <c r="H308" s="26">
        <f t="shared" si="89"/>
        <v>6468000</v>
      </c>
      <c r="I308" s="26">
        <f t="shared" si="89"/>
        <v>0</v>
      </c>
      <c r="J308" s="36">
        <f t="shared" si="89"/>
        <v>0</v>
      </c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</row>
    <row r="309" hidden="1" spans="1:23">
      <c r="A309" s="24"/>
      <c r="B309" s="27"/>
      <c r="C309" s="26"/>
      <c r="D309" s="26"/>
      <c r="E309" s="26"/>
      <c r="F309" s="26"/>
      <c r="G309" s="23"/>
      <c r="H309" s="23"/>
      <c r="I309" s="23"/>
      <c r="J309" s="23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</row>
    <row r="310" hidden="1" spans="1:23">
      <c r="A310" s="24"/>
      <c r="B310" s="27"/>
      <c r="C310" s="26"/>
      <c r="D310" s="26"/>
      <c r="E310" s="22" t="s">
        <v>230</v>
      </c>
      <c r="F310" s="26">
        <v>0</v>
      </c>
      <c r="G310" s="23"/>
      <c r="H310" s="22">
        <f>SUM(H306:H309)</f>
        <v>12768000</v>
      </c>
      <c r="I310" s="22">
        <f>SUM(I305:I309)</f>
        <v>12768000</v>
      </c>
      <c r="J310" s="38">
        <f>SUM(J305:J309)</f>
        <v>1.49158878504673</v>
      </c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</row>
    <row r="311" hidden="1" spans="1:23">
      <c r="A311" s="24"/>
      <c r="B311" s="27"/>
      <c r="C311" s="26"/>
      <c r="D311" s="26"/>
      <c r="E311" s="22"/>
      <c r="F311" s="26"/>
      <c r="G311" s="23"/>
      <c r="H311" s="23"/>
      <c r="I311" s="23"/>
      <c r="J311" s="23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</row>
    <row r="312" spans="1:23">
      <c r="A312" s="20" t="s">
        <v>231</v>
      </c>
      <c r="B312" s="21" t="s">
        <v>232</v>
      </c>
      <c r="C312" s="22"/>
      <c r="D312" s="22"/>
      <c r="E312" s="22"/>
      <c r="F312" s="22"/>
      <c r="G312" s="23"/>
      <c r="H312" s="23"/>
      <c r="I312" s="23">
        <f>SUM(H313)</f>
        <v>5000000</v>
      </c>
      <c r="J312" s="23">
        <f>I312/$I$315*100</f>
        <v>0.58411214953271</v>
      </c>
      <c r="K312" s="37"/>
      <c r="L312" s="37"/>
      <c r="M312" s="37"/>
      <c r="N312" s="37"/>
      <c r="O312" s="37"/>
      <c r="P312" s="37"/>
      <c r="Q312" s="37"/>
      <c r="R312" s="37"/>
      <c r="S312" s="37"/>
      <c r="T312" s="39">
        <f>$J$312/3</f>
        <v>0.194704049844237</v>
      </c>
      <c r="U312" s="39">
        <f t="shared" ref="U312:V312" si="90">$J$312/3</f>
        <v>0.194704049844237</v>
      </c>
      <c r="V312" s="39">
        <f t="shared" si="90"/>
        <v>0.194704049844237</v>
      </c>
      <c r="W312" s="37"/>
    </row>
    <row r="313" hidden="1" spans="1:23">
      <c r="A313" s="24">
        <v>1</v>
      </c>
      <c r="B313" s="27" t="s">
        <v>233</v>
      </c>
      <c r="C313" s="26" t="s">
        <v>31</v>
      </c>
      <c r="D313" s="26">
        <v>1</v>
      </c>
      <c r="E313" s="22"/>
      <c r="F313" s="26">
        <v>0</v>
      </c>
      <c r="G313" s="23">
        <v>5000000</v>
      </c>
      <c r="H313" s="26">
        <v>5000000</v>
      </c>
      <c r="I313" s="26"/>
      <c r="J313" s="36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</row>
    <row r="314" hidden="1" spans="1:23">
      <c r="A314" s="24"/>
      <c r="B314" s="27"/>
      <c r="C314" s="26"/>
      <c r="D314" s="26"/>
      <c r="E314" s="22"/>
      <c r="F314" s="26"/>
      <c r="G314" s="23"/>
      <c r="H314" s="22">
        <f>SUM(H313)</f>
        <v>5000000</v>
      </c>
      <c r="I314" s="22">
        <f>SUM(I312:I313)</f>
        <v>5000000</v>
      </c>
      <c r="J314" s="38">
        <f>SUM(J312:J313)</f>
        <v>0.58411214953271</v>
      </c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</row>
    <row r="315" spans="1:23">
      <c r="A315" s="41"/>
      <c r="B315" s="42"/>
      <c r="C315" s="43"/>
      <c r="D315" s="43"/>
      <c r="E315" s="43"/>
      <c r="F315" s="43"/>
      <c r="G315" s="44"/>
      <c r="H315" s="44"/>
      <c r="I315" s="44">
        <f>I314+I310+I303+I297+I291+I284+I263+I227+I180+I163+I150+I124+I113+I92+I71+I54+I49</f>
        <v>856000000</v>
      </c>
      <c r="J315" s="44">
        <f>J314+J310+J303+J297+J291+J284+J263+J227+J180+J163+J150+J124+J113+J92+J71+J54+J49</f>
        <v>100</v>
      </c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</row>
    <row r="316" s="1" customFormat="1" ht="15.6" customHeight="1" spans="1:23">
      <c r="A316" s="45" t="s">
        <v>234</v>
      </c>
      <c r="B316" s="45"/>
      <c r="C316" s="45"/>
      <c r="D316" s="45"/>
      <c r="E316" s="45"/>
      <c r="F316" s="45"/>
      <c r="G316" s="45"/>
      <c r="H316" s="45"/>
      <c r="I316" s="45"/>
      <c r="J316" s="45"/>
      <c r="K316" s="48">
        <f>SUM(K41:K315)</f>
        <v>0.995986101126288</v>
      </c>
      <c r="L316" s="48">
        <f t="shared" ref="L316:W316" si="91">SUM(L41:L315)</f>
        <v>2.26601384645339</v>
      </c>
      <c r="M316" s="48">
        <f t="shared" si="91"/>
        <v>4.68777494458423</v>
      </c>
      <c r="N316" s="48">
        <f t="shared" si="91"/>
        <v>9.07523490856398</v>
      </c>
      <c r="O316" s="48">
        <f t="shared" ref="O316" si="92">SUM(O41:O315)</f>
        <v>10.5136647942449</v>
      </c>
      <c r="P316" s="48">
        <f t="shared" ref="P316" si="93">SUM(P41:P315)</f>
        <v>10.3550973292916</v>
      </c>
      <c r="Q316" s="48">
        <f t="shared" ref="Q316" si="94">SUM(Q41:Q315)</f>
        <v>10.9358946423757</v>
      </c>
      <c r="R316" s="48">
        <f t="shared" si="91"/>
        <v>12.2106902031234</v>
      </c>
      <c r="S316" s="48">
        <f t="shared" si="91"/>
        <v>13.5038524402729</v>
      </c>
      <c r="T316" s="48">
        <f t="shared" si="91"/>
        <v>12.8713076583415</v>
      </c>
      <c r="U316" s="48">
        <f t="shared" si="91"/>
        <v>9.85477728450969</v>
      </c>
      <c r="V316" s="48">
        <f t="shared" si="91"/>
        <v>2.41518392044093</v>
      </c>
      <c r="W316" s="48">
        <f t="shared" si="91"/>
        <v>0.314521926671459</v>
      </c>
    </row>
    <row r="317" s="1" customFormat="1" ht="15.6" customHeight="1" spans="1:23">
      <c r="A317" s="45" t="s">
        <v>235</v>
      </c>
      <c r="B317" s="45"/>
      <c r="C317" s="45"/>
      <c r="D317" s="45"/>
      <c r="E317" s="45"/>
      <c r="F317" s="45"/>
      <c r="G317" s="45"/>
      <c r="H317" s="45"/>
      <c r="I317" s="45"/>
      <c r="J317" s="45"/>
      <c r="K317" s="48">
        <f>K316</f>
        <v>0.995986101126288</v>
      </c>
      <c r="L317" s="48">
        <f>K317+L316</f>
        <v>3.26199994757968</v>
      </c>
      <c r="M317" s="48">
        <f t="shared" ref="M317:W317" si="95">L317+M316</f>
        <v>7.94977489216391</v>
      </c>
      <c r="N317" s="48">
        <f t="shared" si="95"/>
        <v>17.0250098007279</v>
      </c>
      <c r="O317" s="48">
        <f t="shared" si="95"/>
        <v>27.5386745949728</v>
      </c>
      <c r="P317" s="48">
        <f t="shared" si="95"/>
        <v>37.8937719242644</v>
      </c>
      <c r="Q317" s="48">
        <f t="shared" si="95"/>
        <v>48.8296665666401</v>
      </c>
      <c r="R317" s="48">
        <f t="shared" si="95"/>
        <v>61.0403567697635</v>
      </c>
      <c r="S317" s="48">
        <f t="shared" si="95"/>
        <v>74.5442092100364</v>
      </c>
      <c r="T317" s="48">
        <f t="shared" si="95"/>
        <v>87.4155168683779</v>
      </c>
      <c r="U317" s="48">
        <f t="shared" si="95"/>
        <v>97.2702941528876</v>
      </c>
      <c r="V317" s="48">
        <f t="shared" si="95"/>
        <v>99.6854780733285</v>
      </c>
      <c r="W317" s="48">
        <f t="shared" si="95"/>
        <v>100</v>
      </c>
    </row>
    <row r="318" s="1" customFormat="1" ht="15.6" customHeight="1" spans="1:23">
      <c r="A318" s="46" t="s">
        <v>236</v>
      </c>
      <c r="B318" s="46"/>
      <c r="C318" s="46"/>
      <c r="D318" s="46"/>
      <c r="E318" s="46"/>
      <c r="F318" s="46"/>
      <c r="G318" s="46"/>
      <c r="H318" s="46"/>
      <c r="I318" s="46"/>
      <c r="J318" s="46"/>
      <c r="K318" s="48" t="s">
        <v>237</v>
      </c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</row>
    <row r="319" s="1" customFormat="1" ht="15.6" customHeight="1" spans="1:23">
      <c r="A319" s="46" t="s">
        <v>238</v>
      </c>
      <c r="B319" s="46"/>
      <c r="C319" s="46"/>
      <c r="D319" s="46"/>
      <c r="E319" s="46"/>
      <c r="F319" s="46"/>
      <c r="G319" s="46"/>
      <c r="H319" s="46"/>
      <c r="I319" s="46"/>
      <c r="J319" s="46"/>
      <c r="K319" s="48">
        <v>1.85</v>
      </c>
      <c r="L319" s="48">
        <v>6.1449</v>
      </c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</row>
    <row r="320" s="1" customFormat="1" ht="15.6" customHeight="1" spans="1:23">
      <c r="A320" s="46" t="s">
        <v>239</v>
      </c>
      <c r="B320" s="46"/>
      <c r="C320" s="46"/>
      <c r="D320" s="46"/>
      <c r="E320" s="46"/>
      <c r="F320" s="46"/>
      <c r="G320" s="46"/>
      <c r="H320" s="46"/>
      <c r="I320" s="46"/>
      <c r="J320" s="46"/>
      <c r="K320" s="48">
        <f>K319-K317</f>
        <v>0.854013898873712</v>
      </c>
      <c r="L320" s="48">
        <f>L319-L317</f>
        <v>2.88290005242032</v>
      </c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</row>
    <row r="321" spans="1:10">
      <c r="A321" s="6"/>
      <c r="B321" s="49"/>
      <c r="C321" s="8"/>
      <c r="D321" s="8"/>
      <c r="E321" s="8"/>
      <c r="F321" s="8"/>
      <c r="G321" s="50"/>
      <c r="H321" s="50"/>
      <c r="I321" s="50"/>
      <c r="J321" s="50"/>
    </row>
    <row r="322" spans="1:10">
      <c r="A322" s="6"/>
      <c r="B322" s="49"/>
      <c r="C322" s="8"/>
      <c r="D322" s="8"/>
      <c r="E322" s="8"/>
      <c r="F322" s="8"/>
      <c r="G322" s="50"/>
      <c r="H322" s="50"/>
      <c r="I322" s="50"/>
      <c r="J322" s="50"/>
    </row>
    <row r="323" spans="1:10">
      <c r="A323" s="6"/>
      <c r="B323" s="49"/>
      <c r="C323" s="8"/>
      <c r="D323" s="8"/>
      <c r="E323" s="8"/>
      <c r="F323" s="8"/>
      <c r="G323" s="50"/>
      <c r="H323" s="50"/>
      <c r="I323" s="50"/>
      <c r="J323" s="50"/>
    </row>
    <row r="324" spans="1:10">
      <c r="A324" s="6"/>
      <c r="B324" s="49"/>
      <c r="C324" s="8"/>
      <c r="D324" s="8"/>
      <c r="E324" s="8"/>
      <c r="F324" s="8"/>
      <c r="G324" s="50"/>
      <c r="H324" s="50"/>
      <c r="I324" s="50"/>
      <c r="J324" s="50"/>
    </row>
    <row r="325" spans="1:10">
      <c r="A325" s="6"/>
      <c r="B325" s="49"/>
      <c r="C325" s="8"/>
      <c r="D325" s="8"/>
      <c r="E325" s="8"/>
      <c r="F325" s="8"/>
      <c r="G325" s="50"/>
      <c r="H325" s="50"/>
      <c r="I325" s="50"/>
      <c r="J325" s="50"/>
    </row>
    <row r="326" spans="1:10">
      <c r="A326" s="6"/>
      <c r="B326" s="49"/>
      <c r="C326" s="8"/>
      <c r="D326" s="8"/>
      <c r="E326" s="8"/>
      <c r="F326" s="8"/>
      <c r="G326" s="50"/>
      <c r="H326" s="50"/>
      <c r="I326" s="50"/>
      <c r="J326" s="50"/>
    </row>
    <row r="327" spans="1:10">
      <c r="A327" s="6"/>
      <c r="B327" s="49"/>
      <c r="C327" s="8"/>
      <c r="D327" s="8"/>
      <c r="E327" s="8"/>
      <c r="F327" s="8"/>
      <c r="G327" s="50"/>
      <c r="H327" s="50"/>
      <c r="I327" s="50"/>
      <c r="J327" s="50"/>
    </row>
    <row r="328" spans="1:10">
      <c r="A328" s="6"/>
      <c r="B328" s="49"/>
      <c r="C328" s="8"/>
      <c r="D328" s="8"/>
      <c r="E328" s="8"/>
      <c r="F328" s="8"/>
      <c r="G328" s="50"/>
      <c r="H328" s="50"/>
      <c r="I328" s="50"/>
      <c r="J328" s="50"/>
    </row>
    <row r="329" spans="1:10">
      <c r="A329" s="6"/>
      <c r="B329" s="49"/>
      <c r="C329" s="8"/>
      <c r="D329" s="8"/>
      <c r="E329" s="8"/>
      <c r="F329" s="8"/>
      <c r="G329" s="50"/>
      <c r="H329" s="50"/>
      <c r="I329" s="50"/>
      <c r="J329" s="50"/>
    </row>
    <row r="330" spans="1:10">
      <c r="A330" s="6"/>
      <c r="B330" s="49"/>
      <c r="C330" s="8"/>
      <c r="D330" s="8"/>
      <c r="E330" s="8"/>
      <c r="F330" s="8"/>
      <c r="G330" s="50"/>
      <c r="H330" s="50"/>
      <c r="I330" s="50"/>
      <c r="J330" s="50"/>
    </row>
    <row r="331" spans="1:10">
      <c r="A331" s="6"/>
      <c r="B331" s="49"/>
      <c r="C331" s="8"/>
      <c r="D331" s="8"/>
      <c r="E331" s="8"/>
      <c r="F331" s="8"/>
      <c r="G331" s="50"/>
      <c r="H331" s="50"/>
      <c r="I331" s="50"/>
      <c r="J331" s="50"/>
    </row>
    <row r="332" spans="1:10">
      <c r="A332" s="6"/>
      <c r="B332" s="49"/>
      <c r="C332" s="8"/>
      <c r="D332" s="8"/>
      <c r="E332" s="8"/>
      <c r="F332" s="8"/>
      <c r="G332" s="50"/>
      <c r="H332" s="50"/>
      <c r="I332" s="50"/>
      <c r="J332" s="50"/>
    </row>
    <row r="333" spans="1:10">
      <c r="A333" s="6"/>
      <c r="B333" s="49"/>
      <c r="C333" s="8"/>
      <c r="D333" s="8"/>
      <c r="E333" s="8"/>
      <c r="F333" s="8"/>
      <c r="G333" s="50"/>
      <c r="H333" s="50"/>
      <c r="I333" s="50"/>
      <c r="J333" s="50"/>
    </row>
    <row r="334" spans="1:10">
      <c r="A334" s="6"/>
      <c r="B334" s="49"/>
      <c r="C334" s="8"/>
      <c r="D334" s="8"/>
      <c r="E334" s="8"/>
      <c r="F334" s="8"/>
      <c r="G334" s="50"/>
      <c r="H334" s="50"/>
      <c r="I334" s="50"/>
      <c r="J334" s="50"/>
    </row>
    <row r="335" spans="1:10">
      <c r="A335" s="6"/>
      <c r="B335" s="49"/>
      <c r="C335" s="8"/>
      <c r="D335" s="8"/>
      <c r="E335" s="8"/>
      <c r="F335" s="8"/>
      <c r="G335" s="50"/>
      <c r="H335" s="50"/>
      <c r="I335" s="50"/>
      <c r="J335" s="50"/>
    </row>
    <row r="336" spans="1:10">
      <c r="A336" s="6"/>
      <c r="B336" s="49"/>
      <c r="C336" s="8"/>
      <c r="D336" s="8"/>
      <c r="E336" s="8"/>
      <c r="F336" s="8"/>
      <c r="G336" s="50"/>
      <c r="H336" s="50"/>
      <c r="I336" s="50"/>
      <c r="J336" s="50"/>
    </row>
    <row r="337" spans="1:10">
      <c r="A337" s="6"/>
      <c r="B337" s="49"/>
      <c r="C337" s="8"/>
      <c r="D337" s="8"/>
      <c r="E337" s="8"/>
      <c r="F337" s="8"/>
      <c r="G337" s="50"/>
      <c r="H337" s="50"/>
      <c r="I337" s="50"/>
      <c r="J337" s="50"/>
    </row>
    <row r="338" spans="1:10">
      <c r="A338" s="6"/>
      <c r="B338" s="49"/>
      <c r="C338" s="8"/>
      <c r="D338" s="8"/>
      <c r="E338" s="8"/>
      <c r="F338" s="8"/>
      <c r="G338" s="50"/>
      <c r="H338" s="50"/>
      <c r="I338" s="50"/>
      <c r="J338" s="50"/>
    </row>
    <row r="339" spans="1:10">
      <c r="A339" s="6"/>
      <c r="B339" s="49"/>
      <c r="C339" s="8"/>
      <c r="D339" s="8"/>
      <c r="E339" s="8"/>
      <c r="F339" s="8"/>
      <c r="G339" s="50"/>
      <c r="H339" s="50"/>
      <c r="I339" s="50"/>
      <c r="J339" s="50"/>
    </row>
    <row r="340" spans="1:10">
      <c r="A340" s="6"/>
      <c r="B340" s="49"/>
      <c r="C340" s="8"/>
      <c r="D340" s="8"/>
      <c r="E340" s="8"/>
      <c r="F340" s="8"/>
      <c r="G340" s="50"/>
      <c r="H340" s="50"/>
      <c r="I340" s="50"/>
      <c r="J340" s="50"/>
    </row>
    <row r="341" spans="1:10">
      <c r="A341" s="6"/>
      <c r="B341" s="49"/>
      <c r="C341" s="8"/>
      <c r="D341" s="8"/>
      <c r="E341" s="8"/>
      <c r="F341" s="8"/>
      <c r="G341" s="50"/>
      <c r="H341" s="50"/>
      <c r="I341" s="50"/>
      <c r="J341" s="50"/>
    </row>
    <row r="342" spans="1:10">
      <c r="A342" s="6"/>
      <c r="B342" s="49"/>
      <c r="C342" s="8"/>
      <c r="D342" s="8"/>
      <c r="E342" s="8"/>
      <c r="F342" s="8"/>
      <c r="G342" s="50"/>
      <c r="H342" s="50"/>
      <c r="I342" s="50"/>
      <c r="J342" s="50"/>
    </row>
    <row r="343" spans="1:10">
      <c r="A343" s="6"/>
      <c r="B343" s="49"/>
      <c r="C343" s="8"/>
      <c r="D343" s="8"/>
      <c r="E343" s="8"/>
      <c r="F343" s="8"/>
      <c r="G343" s="50"/>
      <c r="H343" s="50"/>
      <c r="I343" s="50"/>
      <c r="J343" s="50"/>
    </row>
    <row r="344" spans="1:10">
      <c r="A344" s="6"/>
      <c r="B344" s="49"/>
      <c r="C344" s="8"/>
      <c r="D344" s="8"/>
      <c r="E344" s="8"/>
      <c r="F344" s="8"/>
      <c r="G344" s="50"/>
      <c r="H344" s="50"/>
      <c r="I344" s="50"/>
      <c r="J344" s="50"/>
    </row>
    <row r="345" spans="1:10">
      <c r="A345" s="6"/>
      <c r="B345" s="49"/>
      <c r="C345" s="8"/>
      <c r="D345" s="8"/>
      <c r="E345" s="8"/>
      <c r="F345" s="8"/>
      <c r="G345" s="50"/>
      <c r="H345" s="50"/>
      <c r="I345" s="50"/>
      <c r="J345" s="50"/>
    </row>
    <row r="346" spans="1:10">
      <c r="A346" s="6"/>
      <c r="B346" s="49"/>
      <c r="C346" s="8"/>
      <c r="D346" s="8"/>
      <c r="E346" s="8"/>
      <c r="F346" s="8"/>
      <c r="G346" s="50"/>
      <c r="H346" s="50"/>
      <c r="I346" s="50"/>
      <c r="J346" s="50"/>
    </row>
    <row r="347" spans="1:10">
      <c r="A347" s="6"/>
      <c r="B347" s="49"/>
      <c r="C347" s="8"/>
      <c r="D347" s="8"/>
      <c r="E347" s="8"/>
      <c r="F347" s="8"/>
      <c r="G347" s="51"/>
      <c r="H347" s="51"/>
      <c r="I347" s="51"/>
      <c r="J347" s="50"/>
    </row>
    <row r="348" spans="1:9">
      <c r="A348" s="52"/>
      <c r="B348" s="53" t="s">
        <v>240</v>
      </c>
      <c r="C348" s="54"/>
      <c r="D348" s="54"/>
      <c r="E348" s="54"/>
      <c r="F348" s="55"/>
      <c r="G348" s="56"/>
      <c r="H348" s="23"/>
      <c r="I348" s="23"/>
    </row>
    <row r="349" spans="1:9">
      <c r="A349" s="57" t="s">
        <v>28</v>
      </c>
      <c r="B349" s="58" t="str">
        <f>B41</f>
        <v>PRELIMINARY</v>
      </c>
      <c r="C349" s="59"/>
      <c r="D349" s="59"/>
      <c r="E349" s="59"/>
      <c r="F349" s="60">
        <v>0</v>
      </c>
      <c r="G349" s="56"/>
      <c r="H349" s="26">
        <f>H49</f>
        <v>35000000</v>
      </c>
      <c r="I349" s="26">
        <f>I49</f>
        <v>35000000</v>
      </c>
    </row>
    <row r="350" spans="1:9">
      <c r="A350" s="57" t="s">
        <v>38</v>
      </c>
      <c r="B350" s="58" t="str">
        <f>B51</f>
        <v>PEKERJAAN PEMBONGKARAN</v>
      </c>
      <c r="C350" s="59"/>
      <c r="D350" s="59"/>
      <c r="E350" s="59"/>
      <c r="F350" s="60">
        <v>0</v>
      </c>
      <c r="G350" s="56"/>
      <c r="H350" s="26">
        <f>H54</f>
        <v>17500000</v>
      </c>
      <c r="I350" s="26">
        <f>I54</f>
        <v>17500000</v>
      </c>
    </row>
    <row r="351" spans="1:9">
      <c r="A351" s="57" t="s">
        <v>42</v>
      </c>
      <c r="B351" s="58" t="str">
        <f>B56</f>
        <v>PEKERJAAN LANTAI DAN FINISHING LANTAI</v>
      </c>
      <c r="C351" s="59"/>
      <c r="D351" s="59"/>
      <c r="E351" s="59"/>
      <c r="F351" s="60">
        <v>0</v>
      </c>
      <c r="G351" s="56"/>
      <c r="H351" s="26">
        <f>H71</f>
        <v>80545250</v>
      </c>
      <c r="I351" s="26">
        <f>I71</f>
        <v>80545250</v>
      </c>
    </row>
    <row r="352" spans="1:9">
      <c r="A352" s="57" t="s">
        <v>58</v>
      </c>
      <c r="B352" s="58" t="str">
        <f>B73</f>
        <v>PEKERJAAN DINDING DAN FINISHING DINDING</v>
      </c>
      <c r="C352" s="59"/>
      <c r="D352" s="59"/>
      <c r="E352" s="59"/>
      <c r="F352" s="60">
        <v>0</v>
      </c>
      <c r="G352" s="56"/>
      <c r="H352" s="26">
        <f>H92</f>
        <v>224310325</v>
      </c>
      <c r="I352" s="26">
        <f>I92</f>
        <v>224310325</v>
      </c>
    </row>
    <row r="353" spans="1:9">
      <c r="A353" s="57" t="s">
        <v>73</v>
      </c>
      <c r="B353" s="58" t="str">
        <f>B94</f>
        <v>PEKERJAAN CEILING</v>
      </c>
      <c r="C353" s="59"/>
      <c r="D353" s="59"/>
      <c r="E353" s="59"/>
      <c r="F353" s="60">
        <v>0</v>
      </c>
      <c r="G353" s="56"/>
      <c r="H353" s="26">
        <f>H113</f>
        <v>26475000</v>
      </c>
      <c r="I353" s="26">
        <f>I113</f>
        <v>26475000</v>
      </c>
    </row>
    <row r="354" spans="1:9">
      <c r="A354" s="57" t="s">
        <v>86</v>
      </c>
      <c r="B354" s="58" t="str">
        <f>B115</f>
        <v>PEKERJAAN WATERPROOFING</v>
      </c>
      <c r="C354" s="59"/>
      <c r="D354" s="59"/>
      <c r="E354" s="59"/>
      <c r="F354" s="60">
        <v>0</v>
      </c>
      <c r="G354" s="56"/>
      <c r="H354" s="26">
        <f>H124</f>
        <v>7490250</v>
      </c>
      <c r="I354" s="26">
        <f>I124</f>
        <v>7490250</v>
      </c>
    </row>
    <row r="355" spans="1:9">
      <c r="A355" s="57" t="s">
        <v>91</v>
      </c>
      <c r="B355" s="58" t="str">
        <f>B126</f>
        <v>PEKERJAAN SANITARY</v>
      </c>
      <c r="C355" s="59"/>
      <c r="D355" s="59"/>
      <c r="E355" s="59"/>
      <c r="F355" s="60">
        <v>0</v>
      </c>
      <c r="G355" s="56"/>
      <c r="H355" s="26">
        <f>H150</f>
        <v>39591000</v>
      </c>
      <c r="I355" s="26">
        <f>I150</f>
        <v>39591000</v>
      </c>
    </row>
    <row r="356" spans="1:9">
      <c r="A356" s="57" t="s">
        <v>113</v>
      </c>
      <c r="B356" s="58" t="str">
        <f>B152</f>
        <v>PEKERJAAN PINTU DAN JENDELA</v>
      </c>
      <c r="C356" s="59"/>
      <c r="D356" s="59"/>
      <c r="E356" s="59"/>
      <c r="F356" s="60">
        <v>0</v>
      </c>
      <c r="G356" s="56"/>
      <c r="H356" s="26">
        <f>H163</f>
        <v>85000000</v>
      </c>
      <c r="I356" s="26">
        <f>I163</f>
        <v>85000000</v>
      </c>
    </row>
    <row r="357" spans="1:9">
      <c r="A357" s="57" t="s">
        <v>14</v>
      </c>
      <c r="B357" s="58" t="str">
        <f>B165</f>
        <v>PEKERJAAN BUILT IN &amp; LOOSE FURNITURE</v>
      </c>
      <c r="C357" s="59"/>
      <c r="D357" s="59"/>
      <c r="E357" s="59"/>
      <c r="F357" s="60">
        <v>0</v>
      </c>
      <c r="G357" s="56"/>
      <c r="H357" s="26">
        <f>H180</f>
        <v>152767925</v>
      </c>
      <c r="I357" s="26">
        <f>I180</f>
        <v>152767925</v>
      </c>
    </row>
    <row r="358" spans="1:9">
      <c r="A358" s="57" t="s">
        <v>130</v>
      </c>
      <c r="B358" s="58" t="str">
        <f>B182</f>
        <v>PEKERJAAN ELEKTRIKAL</v>
      </c>
      <c r="C358" s="59"/>
      <c r="D358" s="59"/>
      <c r="E358" s="59"/>
      <c r="F358" s="60">
        <v>0</v>
      </c>
      <c r="G358" s="56"/>
      <c r="H358" s="26">
        <f>H227</f>
        <v>50196250</v>
      </c>
      <c r="I358" s="26">
        <f>I227</f>
        <v>50196250</v>
      </c>
    </row>
    <row r="359" spans="1:9">
      <c r="A359" s="57" t="s">
        <v>165</v>
      </c>
      <c r="B359" s="58" t="str">
        <f>B229</f>
        <v>PEKERJAAN PLUMBING</v>
      </c>
      <c r="C359" s="59"/>
      <c r="D359" s="59"/>
      <c r="E359" s="59"/>
      <c r="F359" s="60">
        <v>0</v>
      </c>
      <c r="G359" s="56"/>
      <c r="H359" s="26">
        <f>H263</f>
        <v>49846000</v>
      </c>
      <c r="I359" s="26">
        <f>I263</f>
        <v>49846000</v>
      </c>
    </row>
    <row r="360" spans="1:9">
      <c r="A360" s="57" t="s">
        <v>196</v>
      </c>
      <c r="B360" s="58" t="str">
        <f>B265</f>
        <v>PEKERJAAN VAC</v>
      </c>
      <c r="C360" s="59"/>
      <c r="D360" s="59"/>
      <c r="E360" s="59"/>
      <c r="F360" s="60">
        <v>0</v>
      </c>
      <c r="G360" s="56"/>
      <c r="H360" s="26">
        <f>H284</f>
        <v>40060000</v>
      </c>
      <c r="I360" s="26">
        <f>I284</f>
        <v>40060000</v>
      </c>
    </row>
    <row r="361" spans="1:9">
      <c r="A361" s="57" t="s">
        <v>209</v>
      </c>
      <c r="B361" s="58" t="str">
        <f>B286</f>
        <v>PEKERJAAN SPRINKLER, FIRE ALARM, PAGING SPEAKER</v>
      </c>
      <c r="C361" s="59"/>
      <c r="D361" s="59"/>
      <c r="E361" s="59"/>
      <c r="F361" s="60">
        <v>0</v>
      </c>
      <c r="G361" s="56"/>
      <c r="H361" s="26">
        <f>H291</f>
        <v>7500000</v>
      </c>
      <c r="I361" s="26">
        <f>I291</f>
        <v>7500000</v>
      </c>
    </row>
    <row r="362" spans="1:9">
      <c r="A362" s="57" t="s">
        <v>215</v>
      </c>
      <c r="B362" s="58" t="str">
        <f>B293</f>
        <v>PEKERJAAN SOUND SYSTEM</v>
      </c>
      <c r="C362" s="59"/>
      <c r="D362" s="59"/>
      <c r="E362" s="59"/>
      <c r="F362" s="60">
        <v>0</v>
      </c>
      <c r="G362" s="56"/>
      <c r="H362" s="26">
        <f>H297</f>
        <v>7250000</v>
      </c>
      <c r="I362" s="26">
        <f>I297</f>
        <v>7250000</v>
      </c>
    </row>
    <row r="363" spans="1:9">
      <c r="A363" s="57" t="s">
        <v>220</v>
      </c>
      <c r="B363" s="58" t="str">
        <f>B299</f>
        <v>PEKERJAAN DATA, TV, TELP</v>
      </c>
      <c r="C363" s="59"/>
      <c r="D363" s="59"/>
      <c r="E363" s="59"/>
      <c r="F363" s="60">
        <v>0</v>
      </c>
      <c r="G363" s="56"/>
      <c r="H363" s="26">
        <f>H303</f>
        <v>14700000</v>
      </c>
      <c r="I363" s="26">
        <f>I303</f>
        <v>14700000</v>
      </c>
    </row>
    <row r="364" spans="1:9">
      <c r="A364" s="57" t="s">
        <v>225</v>
      </c>
      <c r="B364" s="58" t="str">
        <f>B305</f>
        <v>PEKERJAAN CCTV</v>
      </c>
      <c r="C364" s="59"/>
      <c r="D364" s="59"/>
      <c r="E364" s="59"/>
      <c r="F364" s="60">
        <v>0</v>
      </c>
      <c r="G364" s="56"/>
      <c r="H364" s="26">
        <f>H310</f>
        <v>12768000</v>
      </c>
      <c r="I364" s="26">
        <f>I310</f>
        <v>12768000</v>
      </c>
    </row>
    <row r="365" spans="1:9">
      <c r="A365" s="57" t="s">
        <v>231</v>
      </c>
      <c r="B365" s="58" t="str">
        <f>B312</f>
        <v>PEKERJAAN TAMBAH/ KURANG</v>
      </c>
      <c r="C365" s="59"/>
      <c r="D365" s="59"/>
      <c r="E365" s="59"/>
      <c r="F365" s="60">
        <v>0</v>
      </c>
      <c r="G365" s="56"/>
      <c r="H365" s="26">
        <f>H314</f>
        <v>5000000</v>
      </c>
      <c r="I365" s="26">
        <f>I314</f>
        <v>5000000</v>
      </c>
    </row>
    <row r="366" ht="15.15" spans="1:9">
      <c r="A366" s="61"/>
      <c r="B366" s="62"/>
      <c r="C366" s="63"/>
      <c r="D366" s="63"/>
      <c r="E366" s="63"/>
      <c r="F366" s="64"/>
      <c r="G366" s="65"/>
      <c r="H366" s="66"/>
      <c r="I366" s="66"/>
    </row>
    <row r="367" spans="1:9">
      <c r="A367" s="67" t="s">
        <v>11</v>
      </c>
      <c r="B367" s="68"/>
      <c r="C367" s="69"/>
      <c r="D367" s="69"/>
      <c r="E367" s="70"/>
      <c r="F367" s="55">
        <v>0</v>
      </c>
      <c r="G367" s="71"/>
      <c r="H367" s="54">
        <f>SUM(H348:H366)</f>
        <v>856000000</v>
      </c>
      <c r="I367" s="54">
        <f>SUM(I348:I366)</f>
        <v>856000000</v>
      </c>
    </row>
    <row r="368" spans="1:9">
      <c r="A368" s="72" t="s">
        <v>241</v>
      </c>
      <c r="B368" s="73"/>
      <c r="C368" s="74"/>
      <c r="D368" s="74"/>
      <c r="E368" s="75"/>
      <c r="F368" s="76">
        <v>0</v>
      </c>
      <c r="G368" s="56"/>
      <c r="H368" s="22">
        <f>H367*0.11</f>
        <v>94160000</v>
      </c>
      <c r="I368" s="22">
        <f>I367*0.11</f>
        <v>94160000</v>
      </c>
    </row>
    <row r="369" ht="15.15" spans="1:9">
      <c r="A369" s="77" t="s">
        <v>242</v>
      </c>
      <c r="B369" s="78"/>
      <c r="C369" s="79"/>
      <c r="D369" s="79"/>
      <c r="E369" s="80"/>
      <c r="F369" s="81">
        <v>0</v>
      </c>
      <c r="G369" s="65"/>
      <c r="H369" s="82">
        <f>SUM(H367:H368)</f>
        <v>950160000</v>
      </c>
      <c r="I369" s="82">
        <f>SUM(I367:I368)</f>
        <v>950160000</v>
      </c>
    </row>
    <row r="370" spans="1:9">
      <c r="A370" s="6"/>
      <c r="B370" s="7"/>
      <c r="C370" s="8"/>
      <c r="D370" s="8"/>
      <c r="E370" s="8"/>
      <c r="F370" s="8"/>
      <c r="G370" s="5"/>
      <c r="H370" s="5"/>
      <c r="I370" s="5"/>
    </row>
    <row r="371" spans="1:9">
      <c r="A371" s="83" t="s">
        <v>243</v>
      </c>
      <c r="B371" s="7"/>
      <c r="C371" s="8"/>
      <c r="D371" s="8"/>
      <c r="E371" s="8"/>
      <c r="F371" s="8"/>
      <c r="G371" s="5"/>
      <c r="H371" s="5"/>
      <c r="I371" s="5"/>
    </row>
    <row r="372" spans="1:9">
      <c r="A372" s="6" t="s">
        <v>244</v>
      </c>
      <c r="B372" s="7" t="s">
        <v>245</v>
      </c>
      <c r="C372" s="8"/>
      <c r="D372" s="8"/>
      <c r="E372" s="8"/>
      <c r="F372" s="8"/>
      <c r="G372" s="5"/>
      <c r="H372" s="5"/>
      <c r="I372" s="5"/>
    </row>
    <row r="373" spans="1:9">
      <c r="A373" s="6" t="s">
        <v>244</v>
      </c>
      <c r="B373" s="11" t="s">
        <v>246</v>
      </c>
      <c r="C373" s="8"/>
      <c r="D373" s="8"/>
      <c r="E373" s="8"/>
      <c r="F373" s="8"/>
      <c r="G373" s="5"/>
      <c r="H373" s="5"/>
      <c r="I373" s="5"/>
    </row>
    <row r="374" spans="1:9">
      <c r="A374" s="6" t="s">
        <v>244</v>
      </c>
      <c r="B374" s="7" t="s">
        <v>247</v>
      </c>
      <c r="C374" s="8"/>
      <c r="D374" s="8"/>
      <c r="E374" s="8"/>
      <c r="F374" s="8"/>
      <c r="G374" s="5"/>
      <c r="H374" s="5"/>
      <c r="I374" s="5"/>
    </row>
    <row r="375" spans="1:6">
      <c r="A375" s="6" t="s">
        <v>244</v>
      </c>
      <c r="B375" s="7" t="s">
        <v>248</v>
      </c>
      <c r="C375" s="8"/>
      <c r="D375" s="8"/>
      <c r="E375" s="8"/>
      <c r="F375" s="8"/>
    </row>
    <row r="376" spans="1:6">
      <c r="A376" s="6" t="s">
        <v>244</v>
      </c>
      <c r="B376" s="7" t="s">
        <v>249</v>
      </c>
      <c r="C376" s="8"/>
      <c r="D376" s="8"/>
      <c r="E376" s="8"/>
      <c r="F376" s="8"/>
    </row>
    <row r="377" spans="1:6">
      <c r="A377" s="6"/>
      <c r="B377" s="7" t="s">
        <v>250</v>
      </c>
      <c r="C377" s="8"/>
      <c r="D377" s="8"/>
      <c r="E377" s="8"/>
      <c r="F377" s="8"/>
    </row>
    <row r="378" spans="1:6">
      <c r="A378" s="6"/>
      <c r="B378" s="7" t="s">
        <v>251</v>
      </c>
      <c r="C378" s="8"/>
      <c r="D378" s="8"/>
      <c r="E378" s="8"/>
      <c r="F378" s="8"/>
    </row>
    <row r="379" spans="1:6">
      <c r="A379" s="6" t="s">
        <v>244</v>
      </c>
      <c r="B379" s="7" t="s">
        <v>252</v>
      </c>
      <c r="C379" s="8"/>
      <c r="D379" s="8"/>
      <c r="E379" s="8"/>
      <c r="F379" s="8"/>
    </row>
    <row r="380" spans="1:6">
      <c r="A380" s="6" t="s">
        <v>244</v>
      </c>
      <c r="B380" s="7" t="s">
        <v>253</v>
      </c>
      <c r="C380" s="8"/>
      <c r="D380" s="8"/>
      <c r="E380" s="8"/>
      <c r="F380" s="8"/>
    </row>
    <row r="381" spans="1:6">
      <c r="A381" s="6"/>
      <c r="B381" s="7"/>
      <c r="C381" s="8"/>
      <c r="D381" s="8"/>
      <c r="E381" s="8"/>
      <c r="F381" s="8"/>
    </row>
    <row r="382" spans="1:6">
      <c r="A382" s="6"/>
      <c r="B382" s="7"/>
      <c r="C382" s="8"/>
      <c r="D382" s="8"/>
      <c r="E382" s="8"/>
      <c r="F382" s="8"/>
    </row>
    <row r="383" spans="1:6">
      <c r="A383" s="6"/>
      <c r="B383" s="7"/>
      <c r="C383" s="8"/>
      <c r="D383" s="8"/>
      <c r="E383" s="8"/>
      <c r="F383" s="8"/>
    </row>
    <row r="384" spans="1:6">
      <c r="A384" s="6"/>
      <c r="B384" s="7"/>
      <c r="C384" s="8"/>
      <c r="D384" s="8"/>
      <c r="E384" s="8"/>
      <c r="F384" s="8"/>
    </row>
    <row r="385" spans="1:6">
      <c r="A385" s="6"/>
      <c r="B385" s="7"/>
      <c r="C385" s="8"/>
      <c r="D385" s="8"/>
      <c r="E385" s="8"/>
      <c r="F385" s="8"/>
    </row>
    <row r="386" spans="1:6">
      <c r="A386" s="6"/>
      <c r="B386" s="7"/>
      <c r="C386" s="8"/>
      <c r="D386" s="8"/>
      <c r="E386" s="8"/>
      <c r="F386" s="8"/>
    </row>
    <row r="387" spans="1:6">
      <c r="A387" s="6"/>
      <c r="B387" s="7"/>
      <c r="C387" s="8"/>
      <c r="D387" s="8"/>
      <c r="E387" s="8"/>
      <c r="F387" s="8"/>
    </row>
    <row r="388" spans="1:6">
      <c r="A388" s="6"/>
      <c r="B388" s="7"/>
      <c r="C388" s="8"/>
      <c r="D388" s="8"/>
      <c r="E388" s="8"/>
      <c r="F388" s="8"/>
    </row>
    <row r="389" spans="1:6">
      <c r="A389" s="6"/>
      <c r="B389" s="7"/>
      <c r="C389" s="8"/>
      <c r="D389" s="8"/>
      <c r="E389" s="8"/>
      <c r="F389" s="8"/>
    </row>
    <row r="390" spans="1:6">
      <c r="A390" s="6"/>
      <c r="B390" s="7"/>
      <c r="C390" s="8"/>
      <c r="D390" s="8"/>
      <c r="E390" s="8"/>
      <c r="F390" s="8"/>
    </row>
    <row r="391" spans="1:6">
      <c r="A391" s="6"/>
      <c r="B391" s="7"/>
      <c r="C391" s="8"/>
      <c r="D391" s="8"/>
      <c r="E391" s="8"/>
      <c r="F391" s="8"/>
    </row>
    <row r="392" spans="1:6">
      <c r="A392" s="6"/>
      <c r="B392" s="7"/>
      <c r="C392" s="8"/>
      <c r="D392" s="8"/>
      <c r="E392" s="8"/>
      <c r="F392" s="8"/>
    </row>
    <row r="393" spans="1:6">
      <c r="A393" s="6"/>
      <c r="B393" s="7"/>
      <c r="C393" s="8"/>
      <c r="D393" s="8"/>
      <c r="E393" s="8"/>
      <c r="F393" s="8"/>
    </row>
    <row r="394" spans="1:6">
      <c r="A394" s="6"/>
      <c r="B394" s="7"/>
      <c r="C394" s="8"/>
      <c r="D394" s="8"/>
      <c r="E394" s="8"/>
      <c r="F394" s="8"/>
    </row>
    <row r="395" spans="1:6">
      <c r="A395" s="6"/>
      <c r="B395" s="7"/>
      <c r="C395" s="8"/>
      <c r="D395" s="8"/>
      <c r="E395" s="8"/>
      <c r="F395" s="8"/>
    </row>
    <row r="396" spans="1:6">
      <c r="A396" s="6"/>
      <c r="B396" s="7"/>
      <c r="C396" s="8"/>
      <c r="D396" s="8"/>
      <c r="E396" s="8"/>
      <c r="F396" s="8"/>
    </row>
    <row r="397" spans="1:6">
      <c r="A397" s="6"/>
      <c r="B397" s="7"/>
      <c r="C397" s="8"/>
      <c r="D397" s="8"/>
      <c r="E397" s="8"/>
      <c r="F397" s="8"/>
    </row>
    <row r="398" spans="1:6">
      <c r="A398" s="6"/>
      <c r="B398" s="7"/>
      <c r="C398" s="8"/>
      <c r="D398" s="8"/>
      <c r="E398" s="8"/>
      <c r="F398" s="8"/>
    </row>
    <row r="399" spans="1:6">
      <c r="A399" s="6"/>
      <c r="B399" s="7"/>
      <c r="C399" s="8"/>
      <c r="D399" s="8"/>
      <c r="E399" s="8"/>
      <c r="F399" s="8"/>
    </row>
    <row r="400" spans="1:6">
      <c r="A400" s="6"/>
      <c r="B400" s="7"/>
      <c r="C400" s="8"/>
      <c r="D400" s="8"/>
      <c r="E400" s="8"/>
      <c r="F400" s="8"/>
    </row>
    <row r="401" spans="1:6">
      <c r="A401" s="6"/>
      <c r="B401" s="7"/>
      <c r="C401" s="8"/>
      <c r="D401" s="8"/>
      <c r="E401" s="8"/>
      <c r="F401" s="8"/>
    </row>
    <row r="402" spans="1:6">
      <c r="A402" s="6"/>
      <c r="B402" s="7"/>
      <c r="C402" s="8"/>
      <c r="D402" s="8"/>
      <c r="E402" s="8"/>
      <c r="F402" s="8"/>
    </row>
    <row r="403" spans="1:6">
      <c r="A403" s="6"/>
      <c r="B403" s="7"/>
      <c r="C403" s="8"/>
      <c r="D403" s="8"/>
      <c r="E403" s="8"/>
      <c r="F403" s="8"/>
    </row>
    <row r="404" spans="1:6">
      <c r="A404" s="6"/>
      <c r="B404" s="7"/>
      <c r="C404" s="8"/>
      <c r="D404" s="8"/>
      <c r="E404" s="8"/>
      <c r="F404" s="8"/>
    </row>
    <row r="405" spans="1:6">
      <c r="A405" s="6"/>
      <c r="B405" s="7"/>
      <c r="C405" s="8"/>
      <c r="D405" s="8"/>
      <c r="E405" s="8"/>
      <c r="F405" s="8"/>
    </row>
    <row r="406" spans="1:6">
      <c r="A406" s="6"/>
      <c r="B406" s="7"/>
      <c r="C406" s="8"/>
      <c r="D406" s="8"/>
      <c r="E406" s="8"/>
      <c r="F406" s="8"/>
    </row>
    <row r="407" spans="1:6">
      <c r="A407" s="6"/>
      <c r="B407" s="7"/>
      <c r="C407" s="8"/>
      <c r="D407" s="8"/>
      <c r="E407" s="8"/>
      <c r="F407" s="8"/>
    </row>
    <row r="408" spans="1:6">
      <c r="A408" s="6"/>
      <c r="B408" s="7"/>
      <c r="C408" s="8"/>
      <c r="D408" s="8"/>
      <c r="E408" s="8"/>
      <c r="F408" s="8"/>
    </row>
    <row r="409" spans="1:6">
      <c r="A409" s="6"/>
      <c r="B409" s="7"/>
      <c r="C409" s="8"/>
      <c r="D409" s="8"/>
      <c r="E409" s="8"/>
      <c r="F409" s="8"/>
    </row>
    <row r="410" spans="1:6">
      <c r="A410" s="6"/>
      <c r="B410" s="7"/>
      <c r="C410" s="8"/>
      <c r="D410" s="8"/>
      <c r="E410" s="8"/>
      <c r="F410" s="8"/>
    </row>
    <row r="411" spans="1:6">
      <c r="A411" s="6"/>
      <c r="B411" s="7"/>
      <c r="C411" s="8"/>
      <c r="D411" s="8"/>
      <c r="E411" s="8"/>
      <c r="F411" s="8"/>
    </row>
    <row r="412" spans="1:6">
      <c r="A412" s="6"/>
      <c r="B412" s="7"/>
      <c r="C412" s="8"/>
      <c r="D412" s="8"/>
      <c r="E412" s="8"/>
      <c r="F412" s="8"/>
    </row>
    <row r="413" spans="1:6">
      <c r="A413" s="6"/>
      <c r="B413" s="7"/>
      <c r="C413" s="8"/>
      <c r="D413" s="8"/>
      <c r="E413" s="8"/>
      <c r="F413" s="8"/>
    </row>
    <row r="414" spans="1:6">
      <c r="A414" s="6"/>
      <c r="B414" s="7"/>
      <c r="C414" s="8"/>
      <c r="D414" s="8"/>
      <c r="E414" s="8"/>
      <c r="F414" s="8"/>
    </row>
    <row r="415" spans="1:6">
      <c r="A415" s="6"/>
      <c r="B415" s="7"/>
      <c r="C415" s="8"/>
      <c r="D415" s="8"/>
      <c r="E415" s="8"/>
      <c r="F415" s="8"/>
    </row>
    <row r="416" spans="1:6">
      <c r="A416" s="6"/>
      <c r="B416" s="7"/>
      <c r="C416" s="8"/>
      <c r="D416" s="8"/>
      <c r="E416" s="8"/>
      <c r="F416" s="8"/>
    </row>
    <row r="417" spans="1:6">
      <c r="A417" s="6"/>
      <c r="B417" s="7"/>
      <c r="C417" s="8"/>
      <c r="D417" s="8"/>
      <c r="E417" s="8"/>
      <c r="F417" s="8"/>
    </row>
    <row r="418" spans="1:6">
      <c r="A418" s="6"/>
      <c r="B418" s="7"/>
      <c r="C418" s="8"/>
      <c r="D418" s="8"/>
      <c r="E418" s="8"/>
      <c r="F418" s="8"/>
    </row>
    <row r="419" spans="1:6">
      <c r="A419" s="6"/>
      <c r="B419" s="7"/>
      <c r="C419" s="8"/>
      <c r="D419" s="8"/>
      <c r="E419" s="8"/>
      <c r="F419" s="8"/>
    </row>
    <row r="420" spans="1:6">
      <c r="A420" s="6"/>
      <c r="B420" s="7"/>
      <c r="C420" s="8"/>
      <c r="D420" s="8"/>
      <c r="E420" s="8"/>
      <c r="F420" s="8"/>
    </row>
    <row r="421" spans="1:6">
      <c r="A421" s="6"/>
      <c r="B421" s="7"/>
      <c r="C421" s="8"/>
      <c r="D421" s="8"/>
      <c r="E421" s="8"/>
      <c r="F421" s="8"/>
    </row>
    <row r="422" spans="1:6">
      <c r="A422" s="6"/>
      <c r="B422" s="7"/>
      <c r="C422" s="8"/>
      <c r="D422" s="8"/>
      <c r="E422" s="8"/>
      <c r="F422" s="8"/>
    </row>
    <row r="423" spans="1:6">
      <c r="A423" s="6"/>
      <c r="B423" s="7"/>
      <c r="C423" s="8"/>
      <c r="D423" s="8"/>
      <c r="E423" s="8"/>
      <c r="F423" s="8"/>
    </row>
    <row r="424" spans="1:6">
      <c r="A424" s="6"/>
      <c r="B424" s="7"/>
      <c r="C424" s="8"/>
      <c r="D424" s="8"/>
      <c r="E424" s="8"/>
      <c r="F424" s="8"/>
    </row>
    <row r="425" spans="1:6">
      <c r="A425" s="6"/>
      <c r="B425" s="7"/>
      <c r="C425" s="8"/>
      <c r="D425" s="8"/>
      <c r="E425" s="8"/>
      <c r="F425" s="8"/>
    </row>
    <row r="426" spans="1:6">
      <c r="A426" s="6"/>
      <c r="B426" s="7"/>
      <c r="C426" s="8"/>
      <c r="D426" s="8"/>
      <c r="E426" s="8"/>
      <c r="F426" s="8"/>
    </row>
    <row r="427" spans="1:6">
      <c r="A427" s="6"/>
      <c r="B427" s="7"/>
      <c r="C427" s="8"/>
      <c r="D427" s="8"/>
      <c r="E427" s="8"/>
      <c r="F427" s="8"/>
    </row>
    <row r="428" spans="1:6">
      <c r="A428" s="6"/>
      <c r="B428" s="7"/>
      <c r="C428" s="8"/>
      <c r="D428" s="8"/>
      <c r="E428" s="8"/>
      <c r="F428" s="8"/>
    </row>
    <row r="429" spans="1:6">
      <c r="A429" s="6"/>
      <c r="B429" s="7"/>
      <c r="C429" s="8"/>
      <c r="D429" s="8"/>
      <c r="E429" s="8"/>
      <c r="F429" s="8"/>
    </row>
    <row r="430" spans="1:6">
      <c r="A430" s="6"/>
      <c r="B430" s="7"/>
      <c r="C430" s="8"/>
      <c r="D430" s="8"/>
      <c r="E430" s="8"/>
      <c r="F430" s="8"/>
    </row>
    <row r="431" spans="1:6">
      <c r="A431" s="6"/>
      <c r="B431" s="7"/>
      <c r="C431" s="8"/>
      <c r="D431" s="8"/>
      <c r="E431" s="8"/>
      <c r="F431" s="8"/>
    </row>
    <row r="432" spans="1:6">
      <c r="A432" s="6"/>
      <c r="B432" s="7"/>
      <c r="C432" s="8"/>
      <c r="D432" s="8"/>
      <c r="E432" s="8"/>
      <c r="F432" s="8"/>
    </row>
    <row r="433" spans="1:6">
      <c r="A433" s="6"/>
      <c r="B433" s="7"/>
      <c r="C433" s="8"/>
      <c r="D433" s="8"/>
      <c r="E433" s="8"/>
      <c r="F433" s="8"/>
    </row>
    <row r="434" spans="1:6">
      <c r="A434" s="6"/>
      <c r="B434" s="7"/>
      <c r="C434" s="8"/>
      <c r="D434" s="8"/>
      <c r="E434" s="8"/>
      <c r="F434" s="8"/>
    </row>
    <row r="435" spans="1:6">
      <c r="A435" s="6"/>
      <c r="B435" s="7"/>
      <c r="C435" s="8"/>
      <c r="D435" s="8"/>
      <c r="E435" s="8"/>
      <c r="F435" s="8"/>
    </row>
    <row r="436" spans="1:6">
      <c r="A436" s="6"/>
      <c r="B436" s="7"/>
      <c r="C436" s="8"/>
      <c r="D436" s="8"/>
      <c r="E436" s="8"/>
      <c r="F436" s="8"/>
    </row>
    <row r="437" spans="1:6">
      <c r="A437" s="6"/>
      <c r="B437" s="7"/>
      <c r="C437" s="8"/>
      <c r="D437" s="8"/>
      <c r="E437" s="8"/>
      <c r="F437" s="8"/>
    </row>
    <row r="438" spans="1:6">
      <c r="A438" s="6"/>
      <c r="B438" s="7"/>
      <c r="C438" s="8"/>
      <c r="D438" s="8"/>
      <c r="E438" s="8"/>
      <c r="F438" s="8"/>
    </row>
    <row r="439" spans="1:6">
      <c r="A439" s="6"/>
      <c r="B439" s="7"/>
      <c r="C439" s="8"/>
      <c r="D439" s="8"/>
      <c r="E439" s="8"/>
      <c r="F439" s="8"/>
    </row>
    <row r="440" spans="1:6">
      <c r="A440" s="6"/>
      <c r="B440" s="7"/>
      <c r="C440" s="8"/>
      <c r="D440" s="8"/>
      <c r="E440" s="8"/>
      <c r="F440" s="8"/>
    </row>
    <row r="441" spans="1:6">
      <c r="A441" s="6"/>
      <c r="B441" s="7"/>
      <c r="C441" s="8"/>
      <c r="D441" s="8"/>
      <c r="E441" s="8"/>
      <c r="F441" s="8"/>
    </row>
    <row r="442" spans="1:6">
      <c r="A442" s="6"/>
      <c r="B442" s="7"/>
      <c r="C442" s="8"/>
      <c r="D442" s="8"/>
      <c r="E442" s="8"/>
      <c r="F442" s="8"/>
    </row>
    <row r="443" spans="1:6">
      <c r="A443" s="6"/>
      <c r="B443" s="7"/>
      <c r="C443" s="8"/>
      <c r="D443" s="8"/>
      <c r="E443" s="8"/>
      <c r="F443" s="8"/>
    </row>
    <row r="444" spans="1:6">
      <c r="A444" s="6"/>
      <c r="B444" s="7"/>
      <c r="C444" s="8"/>
      <c r="D444" s="8"/>
      <c r="E444" s="8"/>
      <c r="F444" s="8"/>
    </row>
    <row r="445" spans="1:6">
      <c r="A445" s="6"/>
      <c r="B445" s="7"/>
      <c r="C445" s="8"/>
      <c r="D445" s="8"/>
      <c r="E445" s="8"/>
      <c r="F445" s="8"/>
    </row>
    <row r="446" spans="1:6">
      <c r="A446" s="6"/>
      <c r="B446" s="7"/>
      <c r="C446" s="8"/>
      <c r="D446" s="8"/>
      <c r="E446" s="8"/>
      <c r="F446" s="8"/>
    </row>
    <row r="447" spans="1:6">
      <c r="A447" s="6"/>
      <c r="B447" s="7"/>
      <c r="C447" s="8"/>
      <c r="D447" s="8"/>
      <c r="E447" s="8"/>
      <c r="F447" s="8"/>
    </row>
    <row r="448" spans="1:6">
      <c r="A448" s="6"/>
      <c r="B448" s="7"/>
      <c r="C448" s="8"/>
      <c r="D448" s="8"/>
      <c r="E448" s="8"/>
      <c r="F448" s="8"/>
    </row>
    <row r="449" spans="1:6">
      <c r="A449" s="6"/>
      <c r="B449" s="7"/>
      <c r="C449" s="8"/>
      <c r="D449" s="8"/>
      <c r="E449" s="8"/>
      <c r="F449" s="8"/>
    </row>
    <row r="450" spans="1:6">
      <c r="A450" s="6"/>
      <c r="B450" s="7"/>
      <c r="C450" s="8"/>
      <c r="D450" s="8"/>
      <c r="E450" s="8"/>
      <c r="F450" s="8"/>
    </row>
    <row r="451" spans="1:6">
      <c r="A451" s="6"/>
      <c r="B451" s="7"/>
      <c r="C451" s="8"/>
      <c r="D451" s="8"/>
      <c r="E451" s="8"/>
      <c r="F451" s="8"/>
    </row>
    <row r="452" spans="1:6">
      <c r="A452" s="6"/>
      <c r="B452" s="7"/>
      <c r="C452" s="8"/>
      <c r="D452" s="8"/>
      <c r="E452" s="8"/>
      <c r="F452" s="8"/>
    </row>
    <row r="453" spans="1:6">
      <c r="A453" s="6"/>
      <c r="B453" s="7"/>
      <c r="C453" s="8"/>
      <c r="D453" s="8"/>
      <c r="E453" s="8"/>
      <c r="F453" s="8"/>
    </row>
    <row r="454" spans="1:6">
      <c r="A454" s="6"/>
      <c r="B454" s="7"/>
      <c r="C454" s="8"/>
      <c r="D454" s="8"/>
      <c r="E454" s="8"/>
      <c r="F454" s="8"/>
    </row>
    <row r="455" spans="1:6">
      <c r="A455" s="6"/>
      <c r="B455" s="7"/>
      <c r="C455" s="8"/>
      <c r="D455" s="8"/>
      <c r="E455" s="8"/>
      <c r="F455" s="8"/>
    </row>
    <row r="456" spans="1:6">
      <c r="A456" s="6"/>
      <c r="B456" s="7"/>
      <c r="C456" s="8"/>
      <c r="D456" s="8"/>
      <c r="E456" s="8"/>
      <c r="F456" s="8"/>
    </row>
    <row r="457" spans="1:6">
      <c r="A457" s="6"/>
      <c r="B457" s="7"/>
      <c r="C457" s="8"/>
      <c r="D457" s="8"/>
      <c r="E457" s="8"/>
      <c r="F457" s="8"/>
    </row>
    <row r="458" spans="1:6">
      <c r="A458" s="6"/>
      <c r="B458" s="7"/>
      <c r="C458" s="8"/>
      <c r="D458" s="8"/>
      <c r="E458" s="8"/>
      <c r="F458" s="8"/>
    </row>
    <row r="459" spans="1:6">
      <c r="A459" s="6"/>
      <c r="B459" s="7"/>
      <c r="C459" s="8"/>
      <c r="D459" s="8"/>
      <c r="E459" s="8"/>
      <c r="F459" s="8"/>
    </row>
    <row r="460" spans="1:6">
      <c r="A460" s="6"/>
      <c r="B460" s="7"/>
      <c r="C460" s="8"/>
      <c r="D460" s="8"/>
      <c r="E460" s="8"/>
      <c r="F460" s="8"/>
    </row>
    <row r="461" spans="1:6">
      <c r="A461" s="6"/>
      <c r="B461" s="7"/>
      <c r="C461" s="8"/>
      <c r="D461" s="8"/>
      <c r="E461" s="8"/>
      <c r="F461" s="8"/>
    </row>
    <row r="462" spans="1:6">
      <c r="A462" s="6"/>
      <c r="B462" s="7"/>
      <c r="C462" s="8"/>
      <c r="D462" s="8"/>
      <c r="E462" s="8"/>
      <c r="F462" s="8"/>
    </row>
    <row r="463" spans="1:6">
      <c r="A463" s="6"/>
      <c r="B463" s="7"/>
      <c r="C463" s="8"/>
      <c r="D463" s="8"/>
      <c r="E463" s="8"/>
      <c r="F463" s="8"/>
    </row>
    <row r="464" spans="1:6">
      <c r="A464" s="6"/>
      <c r="B464" s="7"/>
      <c r="C464" s="8"/>
      <c r="D464" s="8"/>
      <c r="E464" s="8"/>
      <c r="F464" s="8"/>
    </row>
    <row r="465" spans="1:6">
      <c r="A465" s="6"/>
      <c r="B465" s="7"/>
      <c r="C465" s="8"/>
      <c r="D465" s="8"/>
      <c r="E465" s="8"/>
      <c r="F465" s="8"/>
    </row>
    <row r="466" spans="1:6">
      <c r="A466" s="6"/>
      <c r="B466" s="7"/>
      <c r="C466" s="8"/>
      <c r="D466" s="8"/>
      <c r="E466" s="8"/>
      <c r="F466" s="8"/>
    </row>
    <row r="467" spans="1:6">
      <c r="A467" s="6"/>
      <c r="B467" s="7"/>
      <c r="C467" s="8"/>
      <c r="D467" s="8"/>
      <c r="E467" s="8"/>
      <c r="F467" s="8"/>
    </row>
    <row r="468" spans="1:6">
      <c r="A468" s="6"/>
      <c r="B468" s="7"/>
      <c r="C468" s="8"/>
      <c r="D468" s="8"/>
      <c r="E468" s="8"/>
      <c r="F468" s="8"/>
    </row>
    <row r="469" spans="1:6">
      <c r="A469" s="6"/>
      <c r="B469" s="7"/>
      <c r="C469" s="8"/>
      <c r="D469" s="8"/>
      <c r="E469" s="8"/>
      <c r="F469" s="8"/>
    </row>
    <row r="470" spans="1:6">
      <c r="A470" s="6"/>
      <c r="B470" s="7"/>
      <c r="C470" s="8"/>
      <c r="D470" s="8"/>
      <c r="E470" s="8"/>
      <c r="F470" s="8"/>
    </row>
    <row r="471" spans="1:6">
      <c r="A471" s="6"/>
      <c r="B471" s="7"/>
      <c r="C471" s="8"/>
      <c r="D471" s="8"/>
      <c r="E471" s="8"/>
      <c r="F471" s="8"/>
    </row>
    <row r="472" spans="1:6">
      <c r="A472" s="6"/>
      <c r="B472" s="7"/>
      <c r="C472" s="8"/>
      <c r="D472" s="8"/>
      <c r="E472" s="8"/>
      <c r="F472" s="8"/>
    </row>
    <row r="473" spans="1:6">
      <c r="A473" s="6"/>
      <c r="B473" s="7"/>
      <c r="C473" s="8"/>
      <c r="D473" s="8"/>
      <c r="E473" s="8"/>
      <c r="F473" s="8"/>
    </row>
    <row r="474" spans="1:6">
      <c r="A474" s="6"/>
      <c r="B474" s="7"/>
      <c r="C474" s="8"/>
      <c r="D474" s="8"/>
      <c r="E474" s="8"/>
      <c r="F474" s="8"/>
    </row>
    <row r="475" spans="1:6">
      <c r="A475" s="6"/>
      <c r="B475" s="7"/>
      <c r="C475" s="8"/>
      <c r="D475" s="8"/>
      <c r="E475" s="8"/>
      <c r="F475" s="8"/>
    </row>
    <row r="476" spans="1:6">
      <c r="A476" s="6"/>
      <c r="B476" s="7"/>
      <c r="C476" s="8"/>
      <c r="D476" s="8"/>
      <c r="E476" s="8"/>
      <c r="F476" s="8"/>
    </row>
    <row r="477" spans="1:6">
      <c r="A477" s="6"/>
      <c r="B477" s="7"/>
      <c r="C477" s="8"/>
      <c r="D477" s="8"/>
      <c r="E477" s="8"/>
      <c r="F477" s="8"/>
    </row>
    <row r="478" spans="1:6">
      <c r="A478" s="6"/>
      <c r="B478" s="7"/>
      <c r="C478" s="8"/>
      <c r="D478" s="8"/>
      <c r="E478" s="8"/>
      <c r="F478" s="8"/>
    </row>
    <row r="479" spans="1:6">
      <c r="A479" s="6"/>
      <c r="B479" s="7"/>
      <c r="C479" s="8"/>
      <c r="D479" s="8"/>
      <c r="E479" s="8"/>
      <c r="F479" s="8"/>
    </row>
    <row r="480" spans="1:6">
      <c r="A480" s="6"/>
      <c r="B480" s="7"/>
      <c r="C480" s="8"/>
      <c r="D480" s="8"/>
      <c r="E480" s="8"/>
      <c r="F480" s="8"/>
    </row>
    <row r="481" spans="1:6">
      <c r="A481" s="6"/>
      <c r="B481" s="7"/>
      <c r="C481" s="8"/>
      <c r="D481" s="8"/>
      <c r="E481" s="8"/>
      <c r="F481" s="8"/>
    </row>
    <row r="482" spans="1:6">
      <c r="A482" s="6"/>
      <c r="B482" s="7"/>
      <c r="C482" s="8"/>
      <c r="D482" s="8"/>
      <c r="E482" s="8"/>
      <c r="F482" s="8"/>
    </row>
    <row r="483" spans="1:6">
      <c r="A483" s="6"/>
      <c r="B483" s="7"/>
      <c r="C483" s="8"/>
      <c r="D483" s="8"/>
      <c r="E483" s="8"/>
      <c r="F483" s="8"/>
    </row>
    <row r="484" spans="1:6">
      <c r="A484" s="6"/>
      <c r="B484" s="7"/>
      <c r="C484" s="8"/>
      <c r="D484" s="8"/>
      <c r="E484" s="8"/>
      <c r="F484" s="8"/>
    </row>
    <row r="485" spans="1:6">
      <c r="A485" s="6"/>
      <c r="B485" s="7"/>
      <c r="C485" s="8"/>
      <c r="D485" s="8"/>
      <c r="E485" s="8"/>
      <c r="F485" s="8"/>
    </row>
    <row r="486" spans="1:6">
      <c r="A486" s="6"/>
      <c r="B486" s="7"/>
      <c r="C486" s="8"/>
      <c r="D486" s="8"/>
      <c r="E486" s="8"/>
      <c r="F486" s="8"/>
    </row>
    <row r="487" spans="1:6">
      <c r="A487" s="6"/>
      <c r="B487" s="7"/>
      <c r="C487" s="8"/>
      <c r="D487" s="8"/>
      <c r="E487" s="8"/>
      <c r="F487" s="8"/>
    </row>
    <row r="488" spans="1:6">
      <c r="A488" s="6"/>
      <c r="B488" s="7"/>
      <c r="C488" s="8"/>
      <c r="D488" s="8"/>
      <c r="E488" s="8"/>
      <c r="F488" s="8"/>
    </row>
    <row r="489" spans="1:6">
      <c r="A489" s="6"/>
      <c r="B489" s="7"/>
      <c r="C489" s="8"/>
      <c r="D489" s="8"/>
      <c r="E489" s="8"/>
      <c r="F489" s="8"/>
    </row>
    <row r="490" spans="1:6">
      <c r="A490" s="6"/>
      <c r="B490" s="7"/>
      <c r="C490" s="8"/>
      <c r="D490" s="8"/>
      <c r="E490" s="8"/>
      <c r="F490" s="8"/>
    </row>
    <row r="491" spans="1:6">
      <c r="A491" s="6"/>
      <c r="B491" s="7"/>
      <c r="C491" s="8"/>
      <c r="D491" s="8"/>
      <c r="E491" s="8"/>
      <c r="F491" s="8"/>
    </row>
    <row r="492" spans="1:6">
      <c r="A492" s="6"/>
      <c r="B492" s="7"/>
      <c r="C492" s="8"/>
      <c r="D492" s="8"/>
      <c r="E492" s="8"/>
      <c r="F492" s="8"/>
    </row>
    <row r="493" spans="1:6">
      <c r="A493" s="6"/>
      <c r="B493" s="7"/>
      <c r="C493" s="8"/>
      <c r="D493" s="8"/>
      <c r="E493" s="8"/>
      <c r="F493" s="8"/>
    </row>
    <row r="494" spans="1:6">
      <c r="A494" s="6"/>
      <c r="B494" s="7"/>
      <c r="C494" s="8"/>
      <c r="D494" s="8"/>
      <c r="E494" s="8"/>
      <c r="F494" s="8"/>
    </row>
    <row r="495" spans="1:6">
      <c r="A495" s="6"/>
      <c r="B495" s="7"/>
      <c r="C495" s="8"/>
      <c r="D495" s="8"/>
      <c r="E495" s="8"/>
      <c r="F495" s="8"/>
    </row>
    <row r="496" spans="1:6">
      <c r="A496" s="6"/>
      <c r="B496" s="7"/>
      <c r="C496" s="8"/>
      <c r="D496" s="8"/>
      <c r="E496" s="8"/>
      <c r="F496" s="8"/>
    </row>
    <row r="497" spans="1:6">
      <c r="A497" s="6"/>
      <c r="B497" s="7"/>
      <c r="C497" s="8"/>
      <c r="D497" s="8"/>
      <c r="E497" s="8"/>
      <c r="F497" s="8"/>
    </row>
    <row r="498" spans="1:6">
      <c r="A498" s="6"/>
      <c r="B498" s="7"/>
      <c r="C498" s="8"/>
      <c r="D498" s="8"/>
      <c r="E498" s="8"/>
      <c r="F498" s="8"/>
    </row>
    <row r="499" spans="1:6">
      <c r="A499" s="6"/>
      <c r="B499" s="7"/>
      <c r="C499" s="8"/>
      <c r="D499" s="8"/>
      <c r="E499" s="8"/>
      <c r="F499" s="8"/>
    </row>
    <row r="500" spans="1:6">
      <c r="A500" s="6"/>
      <c r="B500" s="7"/>
      <c r="C500" s="8"/>
      <c r="D500" s="8"/>
      <c r="E500" s="8"/>
      <c r="F500" s="8"/>
    </row>
    <row r="501" spans="1:6">
      <c r="A501" s="6"/>
      <c r="B501" s="7"/>
      <c r="C501" s="8"/>
      <c r="D501" s="8"/>
      <c r="E501" s="8"/>
      <c r="F501" s="8"/>
    </row>
    <row r="502" spans="1:6">
      <c r="A502" s="6"/>
      <c r="B502" s="7"/>
      <c r="C502" s="8"/>
      <c r="D502" s="8"/>
      <c r="E502" s="8"/>
      <c r="F502" s="8"/>
    </row>
    <row r="503" spans="1:6">
      <c r="A503" s="6"/>
      <c r="B503" s="7"/>
      <c r="C503" s="8"/>
      <c r="D503" s="8"/>
      <c r="E503" s="8"/>
      <c r="F503" s="8"/>
    </row>
    <row r="504" spans="1:6">
      <c r="A504" s="6"/>
      <c r="B504" s="7"/>
      <c r="C504" s="8"/>
      <c r="D504" s="8"/>
      <c r="E504" s="8"/>
      <c r="F504" s="8"/>
    </row>
    <row r="505" spans="1:6">
      <c r="A505" s="6"/>
      <c r="B505" s="7"/>
      <c r="C505" s="8"/>
      <c r="D505" s="8"/>
      <c r="E505" s="8"/>
      <c r="F505" s="8"/>
    </row>
    <row r="506" spans="1:6">
      <c r="A506" s="6"/>
      <c r="B506" s="7"/>
      <c r="C506" s="8"/>
      <c r="D506" s="8"/>
      <c r="E506" s="8"/>
      <c r="F506" s="8"/>
    </row>
    <row r="507" spans="1:6">
      <c r="A507" s="6"/>
      <c r="B507" s="7"/>
      <c r="C507" s="8"/>
      <c r="D507" s="8"/>
      <c r="E507" s="8"/>
      <c r="F507" s="8"/>
    </row>
    <row r="508" spans="1:6">
      <c r="A508" s="6"/>
      <c r="B508" s="7"/>
      <c r="C508" s="8"/>
      <c r="D508" s="8"/>
      <c r="E508" s="8"/>
      <c r="F508" s="8"/>
    </row>
    <row r="509" spans="1:6">
      <c r="A509" s="6"/>
      <c r="B509" s="7"/>
      <c r="C509" s="8"/>
      <c r="D509" s="8"/>
      <c r="E509" s="8"/>
      <c r="F509" s="8"/>
    </row>
    <row r="510" spans="1:6">
      <c r="A510" s="6"/>
      <c r="B510" s="7"/>
      <c r="C510" s="8"/>
      <c r="D510" s="8"/>
      <c r="E510" s="8"/>
      <c r="F510" s="8"/>
    </row>
    <row r="511" spans="1:6">
      <c r="A511" s="6"/>
      <c r="B511" s="7"/>
      <c r="C511" s="8"/>
      <c r="D511" s="8"/>
      <c r="E511" s="8"/>
      <c r="F511" s="8"/>
    </row>
    <row r="512" spans="1:6">
      <c r="A512" s="6"/>
      <c r="B512" s="7"/>
      <c r="C512" s="8"/>
      <c r="D512" s="8"/>
      <c r="E512" s="8"/>
      <c r="F512" s="8"/>
    </row>
    <row r="513" spans="1:6">
      <c r="A513" s="6"/>
      <c r="B513" s="7"/>
      <c r="C513" s="8"/>
      <c r="D513" s="8"/>
      <c r="E513" s="8"/>
      <c r="F513" s="8"/>
    </row>
    <row r="514" spans="1:6">
      <c r="A514" s="6"/>
      <c r="B514" s="7"/>
      <c r="C514" s="8"/>
      <c r="D514" s="8"/>
      <c r="E514" s="8"/>
      <c r="F514" s="8"/>
    </row>
    <row r="515" spans="1:6">
      <c r="A515" s="6"/>
      <c r="B515" s="7"/>
      <c r="C515" s="8"/>
      <c r="D515" s="8"/>
      <c r="E515" s="8"/>
      <c r="F515" s="8"/>
    </row>
    <row r="516" spans="1:6">
      <c r="A516" s="6"/>
      <c r="B516" s="7"/>
      <c r="C516" s="8"/>
      <c r="D516" s="8"/>
      <c r="E516" s="8"/>
      <c r="F516" s="8"/>
    </row>
    <row r="517" spans="1:6">
      <c r="A517" s="6"/>
      <c r="B517" s="7"/>
      <c r="C517" s="8"/>
      <c r="D517" s="8"/>
      <c r="E517" s="8"/>
      <c r="F517" s="8"/>
    </row>
    <row r="518" spans="1:6">
      <c r="A518" s="6"/>
      <c r="B518" s="7"/>
      <c r="C518" s="8"/>
      <c r="D518" s="8"/>
      <c r="E518" s="8"/>
      <c r="F518" s="8"/>
    </row>
    <row r="519" spans="1:6">
      <c r="A519" s="6"/>
      <c r="B519" s="7"/>
      <c r="C519" s="8"/>
      <c r="D519" s="8"/>
      <c r="E519" s="8"/>
      <c r="F519" s="8"/>
    </row>
    <row r="520" spans="1:6">
      <c r="A520" s="6"/>
      <c r="B520" s="7"/>
      <c r="C520" s="8"/>
      <c r="D520" s="8"/>
      <c r="E520" s="8"/>
      <c r="F520" s="8"/>
    </row>
    <row r="521" spans="1:6">
      <c r="A521" s="6"/>
      <c r="B521" s="7"/>
      <c r="C521" s="8"/>
      <c r="D521" s="8"/>
      <c r="E521" s="8"/>
      <c r="F521" s="8"/>
    </row>
    <row r="522" spans="1:6">
      <c r="A522" s="6"/>
      <c r="B522" s="7"/>
      <c r="C522" s="8"/>
      <c r="D522" s="8"/>
      <c r="E522" s="8"/>
      <c r="F522" s="8"/>
    </row>
    <row r="523" spans="1:6">
      <c r="A523" s="6"/>
      <c r="B523" s="7"/>
      <c r="C523" s="8"/>
      <c r="D523" s="8"/>
      <c r="E523" s="8"/>
      <c r="F523" s="8"/>
    </row>
    <row r="524" spans="1:6">
      <c r="A524" s="6"/>
      <c r="B524" s="7"/>
      <c r="C524" s="8"/>
      <c r="D524" s="8"/>
      <c r="E524" s="8"/>
      <c r="F524" s="8"/>
    </row>
    <row r="525" spans="1:6">
      <c r="A525" s="6"/>
      <c r="B525" s="7"/>
      <c r="C525" s="8"/>
      <c r="D525" s="8"/>
      <c r="E525" s="8"/>
      <c r="F525" s="8"/>
    </row>
    <row r="526" spans="1:6">
      <c r="A526" s="6"/>
      <c r="B526" s="7"/>
      <c r="C526" s="8"/>
      <c r="D526" s="8"/>
      <c r="E526" s="8"/>
      <c r="F526" s="8"/>
    </row>
    <row r="527" spans="1:6">
      <c r="A527" s="6"/>
      <c r="B527" s="7"/>
      <c r="C527" s="8"/>
      <c r="D527" s="8"/>
      <c r="E527" s="8"/>
      <c r="F527" s="8"/>
    </row>
    <row r="528" spans="1:6">
      <c r="A528" s="6"/>
      <c r="B528" s="7"/>
      <c r="C528" s="8"/>
      <c r="D528" s="8"/>
      <c r="E528" s="8"/>
      <c r="F528" s="8"/>
    </row>
    <row r="529" spans="1:6">
      <c r="A529" s="6"/>
      <c r="B529" s="7"/>
      <c r="C529" s="8"/>
      <c r="D529" s="8"/>
      <c r="E529" s="8"/>
      <c r="F529" s="8"/>
    </row>
    <row r="530" spans="1:6">
      <c r="A530" s="6"/>
      <c r="B530" s="7"/>
      <c r="C530" s="8"/>
      <c r="D530" s="8"/>
      <c r="E530" s="8"/>
      <c r="F530" s="8"/>
    </row>
    <row r="531" spans="1:6">
      <c r="A531" s="6"/>
      <c r="B531" s="7"/>
      <c r="C531" s="8"/>
      <c r="D531" s="8"/>
      <c r="E531" s="8"/>
      <c r="F531" s="8"/>
    </row>
    <row r="532" spans="1:6">
      <c r="A532" s="6"/>
      <c r="B532" s="7"/>
      <c r="C532" s="8"/>
      <c r="D532" s="8"/>
      <c r="E532" s="8"/>
      <c r="F532" s="8"/>
    </row>
    <row r="533" spans="1:6">
      <c r="A533" s="6"/>
      <c r="B533" s="7"/>
      <c r="C533" s="8"/>
      <c r="D533" s="8"/>
      <c r="E533" s="8"/>
      <c r="F533" s="8"/>
    </row>
    <row r="534" spans="1:6">
      <c r="A534" s="6"/>
      <c r="B534" s="7"/>
      <c r="C534" s="8"/>
      <c r="D534" s="8"/>
      <c r="E534" s="8"/>
      <c r="F534" s="8"/>
    </row>
    <row r="535" spans="1:6">
      <c r="A535" s="6"/>
      <c r="B535" s="7"/>
      <c r="C535" s="8"/>
      <c r="D535" s="8"/>
      <c r="E535" s="8"/>
      <c r="F535" s="8"/>
    </row>
    <row r="536" spans="1:6">
      <c r="A536" s="6"/>
      <c r="B536" s="7"/>
      <c r="C536" s="8"/>
      <c r="D536" s="8"/>
      <c r="E536" s="8"/>
      <c r="F536" s="8"/>
    </row>
    <row r="537" spans="1:6">
      <c r="A537" s="6"/>
      <c r="B537" s="7"/>
      <c r="C537" s="8"/>
      <c r="D537" s="8"/>
      <c r="E537" s="8"/>
      <c r="F537" s="8"/>
    </row>
    <row r="538" spans="1:6">
      <c r="A538" s="6"/>
      <c r="B538" s="7"/>
      <c r="C538" s="8"/>
      <c r="D538" s="8"/>
      <c r="E538" s="8"/>
      <c r="F538" s="8"/>
    </row>
    <row r="539" spans="1:6">
      <c r="A539" s="6"/>
      <c r="B539" s="7"/>
      <c r="C539" s="8"/>
      <c r="D539" s="8"/>
      <c r="E539" s="8"/>
      <c r="F539" s="8"/>
    </row>
    <row r="540" spans="1:6">
      <c r="A540" s="6"/>
      <c r="B540" s="7"/>
      <c r="C540" s="8"/>
      <c r="D540" s="8"/>
      <c r="E540" s="8"/>
      <c r="F540" s="8"/>
    </row>
    <row r="541" spans="1:6">
      <c r="A541" s="6"/>
      <c r="B541" s="7"/>
      <c r="C541" s="8"/>
      <c r="D541" s="8"/>
      <c r="E541" s="8"/>
      <c r="F541" s="8"/>
    </row>
    <row r="542" spans="1:6">
      <c r="A542" s="6"/>
      <c r="B542" s="7"/>
      <c r="C542" s="8"/>
      <c r="D542" s="8"/>
      <c r="E542" s="8"/>
      <c r="F542" s="8"/>
    </row>
    <row r="543" spans="1:6">
      <c r="A543" s="6"/>
      <c r="B543" s="7"/>
      <c r="C543" s="8"/>
      <c r="D543" s="8"/>
      <c r="E543" s="8"/>
      <c r="F543" s="8"/>
    </row>
    <row r="544" spans="1:6">
      <c r="A544" s="6"/>
      <c r="B544" s="7"/>
      <c r="C544" s="8"/>
      <c r="D544" s="8"/>
      <c r="E544" s="8"/>
      <c r="F544" s="8"/>
    </row>
    <row r="545" spans="1:6">
      <c r="A545" s="6"/>
      <c r="B545" s="7"/>
      <c r="C545" s="8"/>
      <c r="D545" s="8"/>
      <c r="E545" s="8"/>
      <c r="F545" s="8"/>
    </row>
    <row r="546" spans="1:6">
      <c r="A546" s="6"/>
      <c r="B546" s="7"/>
      <c r="C546" s="8"/>
      <c r="D546" s="8"/>
      <c r="E546" s="8"/>
      <c r="F546" s="8"/>
    </row>
    <row r="547" spans="1:6">
      <c r="A547" s="6"/>
      <c r="B547" s="7"/>
      <c r="C547" s="8"/>
      <c r="D547" s="8"/>
      <c r="E547" s="8"/>
      <c r="F547" s="8"/>
    </row>
    <row r="548" spans="1:6">
      <c r="A548" s="6"/>
      <c r="B548" s="7"/>
      <c r="C548" s="8"/>
      <c r="D548" s="8"/>
      <c r="E548" s="8"/>
      <c r="F548" s="8"/>
    </row>
    <row r="549" spans="1:6">
      <c r="A549" s="6"/>
      <c r="B549" s="7"/>
      <c r="C549" s="8"/>
      <c r="D549" s="8"/>
      <c r="E549" s="8"/>
      <c r="F549" s="8"/>
    </row>
    <row r="550" spans="1:6">
      <c r="A550" s="6"/>
      <c r="B550" s="7"/>
      <c r="C550" s="8"/>
      <c r="D550" s="8"/>
      <c r="E550" s="8"/>
      <c r="F550" s="8"/>
    </row>
    <row r="551" spans="1:6">
      <c r="A551" s="6"/>
      <c r="B551" s="7"/>
      <c r="C551" s="8"/>
      <c r="D551" s="8"/>
      <c r="E551" s="8"/>
      <c r="F551" s="8"/>
    </row>
    <row r="552" spans="1:6">
      <c r="A552" s="6"/>
      <c r="B552" s="7"/>
      <c r="C552" s="8"/>
      <c r="D552" s="8"/>
      <c r="E552" s="8"/>
      <c r="F552" s="8"/>
    </row>
    <row r="553" spans="1:6">
      <c r="A553" s="6"/>
      <c r="B553" s="7"/>
      <c r="C553" s="8"/>
      <c r="D553" s="8"/>
      <c r="E553" s="8"/>
      <c r="F553" s="8"/>
    </row>
    <row r="554" spans="1:6">
      <c r="A554" s="6"/>
      <c r="B554" s="7"/>
      <c r="C554" s="8"/>
      <c r="D554" s="8"/>
      <c r="E554" s="8"/>
      <c r="F554" s="8"/>
    </row>
    <row r="555" spans="1:6">
      <c r="A555" s="6"/>
      <c r="B555" s="7"/>
      <c r="C555" s="8"/>
      <c r="D555" s="8"/>
      <c r="E555" s="8"/>
      <c r="F555" s="8"/>
    </row>
    <row r="556" spans="1:6">
      <c r="A556" s="6"/>
      <c r="B556" s="7"/>
      <c r="C556" s="8"/>
      <c r="D556" s="8"/>
      <c r="E556" s="8"/>
      <c r="F556" s="8"/>
    </row>
    <row r="557" spans="1:6">
      <c r="A557" s="6"/>
      <c r="B557" s="7"/>
      <c r="C557" s="8"/>
      <c r="D557" s="8"/>
      <c r="E557" s="8"/>
      <c r="F557" s="8"/>
    </row>
    <row r="558" spans="1:6">
      <c r="A558" s="6"/>
      <c r="B558" s="7"/>
      <c r="C558" s="8"/>
      <c r="D558" s="8"/>
      <c r="E558" s="8"/>
      <c r="F558" s="8"/>
    </row>
    <row r="559" spans="1:6">
      <c r="A559" s="6"/>
      <c r="B559" s="7"/>
      <c r="C559" s="8"/>
      <c r="D559" s="8"/>
      <c r="E559" s="8"/>
      <c r="F559" s="8"/>
    </row>
    <row r="560" spans="1:6">
      <c r="A560" s="6"/>
      <c r="B560" s="7"/>
      <c r="C560" s="8"/>
      <c r="D560" s="8"/>
      <c r="E560" s="8"/>
      <c r="F560" s="8"/>
    </row>
    <row r="561" spans="1:6">
      <c r="A561" s="6"/>
      <c r="B561" s="7"/>
      <c r="C561" s="8"/>
      <c r="D561" s="8"/>
      <c r="E561" s="8"/>
      <c r="F561" s="8"/>
    </row>
    <row r="562" spans="1:6">
      <c r="A562" s="6"/>
      <c r="B562" s="7"/>
      <c r="C562" s="8"/>
      <c r="D562" s="8"/>
      <c r="E562" s="8"/>
      <c r="F562" s="8"/>
    </row>
    <row r="563" spans="1:6">
      <c r="A563" s="6"/>
      <c r="B563" s="7"/>
      <c r="C563" s="8"/>
      <c r="D563" s="8"/>
      <c r="E563" s="8"/>
      <c r="F563" s="8"/>
    </row>
    <row r="564" spans="1:6">
      <c r="A564" s="6"/>
      <c r="B564" s="7"/>
      <c r="C564" s="8"/>
      <c r="D564" s="8"/>
      <c r="E564" s="8"/>
      <c r="F564" s="8"/>
    </row>
    <row r="565" spans="1:6">
      <c r="A565" s="6"/>
      <c r="B565" s="7"/>
      <c r="C565" s="8"/>
      <c r="D565" s="8"/>
      <c r="E565" s="8"/>
      <c r="F565" s="8"/>
    </row>
    <row r="566" spans="1:6">
      <c r="A566" s="6"/>
      <c r="B566" s="7"/>
      <c r="C566" s="8"/>
      <c r="D566" s="8"/>
      <c r="E566" s="8"/>
      <c r="F566" s="8"/>
    </row>
    <row r="567" spans="1:6">
      <c r="A567" s="6"/>
      <c r="B567" s="7"/>
      <c r="C567" s="8"/>
      <c r="D567" s="8"/>
      <c r="E567" s="8"/>
      <c r="F567" s="8"/>
    </row>
    <row r="568" spans="1:6">
      <c r="A568" s="6"/>
      <c r="B568" s="7"/>
      <c r="C568" s="8"/>
      <c r="D568" s="8"/>
      <c r="E568" s="8"/>
      <c r="F568" s="8"/>
    </row>
    <row r="569" spans="1:6">
      <c r="A569" s="6"/>
      <c r="B569" s="7"/>
      <c r="C569" s="8"/>
      <c r="D569" s="8"/>
      <c r="E569" s="8"/>
      <c r="F569" s="8"/>
    </row>
    <row r="570" spans="1:6">
      <c r="A570" s="6"/>
      <c r="B570" s="7"/>
      <c r="C570" s="8"/>
      <c r="D570" s="8"/>
      <c r="E570" s="8"/>
      <c r="F570" s="8"/>
    </row>
    <row r="571" spans="1:6">
      <c r="A571" s="6"/>
      <c r="B571" s="7"/>
      <c r="C571" s="8"/>
      <c r="D571" s="8"/>
      <c r="E571" s="8"/>
      <c r="F571" s="8"/>
    </row>
    <row r="572" spans="1:6">
      <c r="A572" s="6"/>
      <c r="B572" s="7"/>
      <c r="C572" s="8"/>
      <c r="D572" s="8"/>
      <c r="E572" s="8"/>
      <c r="F572" s="8"/>
    </row>
    <row r="573" spans="1:6">
      <c r="A573" s="6"/>
      <c r="B573" s="7"/>
      <c r="C573" s="8"/>
      <c r="D573" s="8"/>
      <c r="E573" s="8"/>
      <c r="F573" s="8"/>
    </row>
    <row r="574" spans="1:6">
      <c r="A574" s="6"/>
      <c r="B574" s="7"/>
      <c r="C574" s="8"/>
      <c r="D574" s="8"/>
      <c r="E574" s="8"/>
      <c r="F574" s="8"/>
    </row>
    <row r="575" spans="1:6">
      <c r="A575" s="6"/>
      <c r="B575" s="7"/>
      <c r="C575" s="8"/>
      <c r="D575" s="8"/>
      <c r="E575" s="8"/>
      <c r="F575" s="8"/>
    </row>
    <row r="576" spans="1:6">
      <c r="A576" s="6"/>
      <c r="B576" s="7"/>
      <c r="C576" s="8"/>
      <c r="D576" s="8"/>
      <c r="E576" s="8"/>
      <c r="F576" s="8"/>
    </row>
    <row r="577" spans="1:6">
      <c r="A577" s="6"/>
      <c r="B577" s="7"/>
      <c r="C577" s="8"/>
      <c r="D577" s="8"/>
      <c r="E577" s="8"/>
      <c r="F577" s="8"/>
    </row>
    <row r="578" spans="1:6">
      <c r="A578" s="6"/>
      <c r="B578" s="7"/>
      <c r="C578" s="8"/>
      <c r="D578" s="8"/>
      <c r="E578" s="8"/>
      <c r="F578" s="8"/>
    </row>
    <row r="579" spans="1:6">
      <c r="A579" s="6"/>
      <c r="B579" s="7"/>
      <c r="C579" s="8"/>
      <c r="D579" s="8"/>
      <c r="E579" s="8"/>
      <c r="F579" s="8"/>
    </row>
    <row r="580" spans="1:6">
      <c r="A580" s="6"/>
      <c r="B580" s="7"/>
      <c r="C580" s="8"/>
      <c r="D580" s="8"/>
      <c r="E580" s="8"/>
      <c r="F580" s="8"/>
    </row>
    <row r="581" spans="1:6">
      <c r="A581" s="6"/>
      <c r="B581" s="7"/>
      <c r="C581" s="8"/>
      <c r="D581" s="8"/>
      <c r="E581" s="8"/>
      <c r="F581" s="8"/>
    </row>
    <row r="582" spans="1:6">
      <c r="A582" s="6"/>
      <c r="B582" s="7"/>
      <c r="C582" s="8"/>
      <c r="D582" s="8"/>
      <c r="E582" s="8"/>
      <c r="F582" s="8"/>
    </row>
    <row r="583" spans="1:6">
      <c r="A583" s="6"/>
      <c r="B583" s="7"/>
      <c r="C583" s="8"/>
      <c r="D583" s="8"/>
      <c r="E583" s="8"/>
      <c r="F583" s="8"/>
    </row>
    <row r="584" spans="1:6">
      <c r="A584" s="6"/>
      <c r="B584" s="7"/>
      <c r="C584" s="8"/>
      <c r="D584" s="8"/>
      <c r="E584" s="8"/>
      <c r="F584" s="8"/>
    </row>
    <row r="585" spans="1:6">
      <c r="A585" s="6"/>
      <c r="B585" s="7"/>
      <c r="C585" s="8"/>
      <c r="D585" s="8"/>
      <c r="E585" s="8"/>
      <c r="F585" s="8"/>
    </row>
    <row r="586" spans="1:6">
      <c r="A586" s="6"/>
      <c r="B586" s="7"/>
      <c r="C586" s="8"/>
      <c r="D586" s="8"/>
      <c r="E586" s="8"/>
      <c r="F586" s="8"/>
    </row>
    <row r="587" spans="1:6">
      <c r="A587" s="6"/>
      <c r="B587" s="7"/>
      <c r="C587" s="8"/>
      <c r="D587" s="8"/>
      <c r="E587" s="8"/>
      <c r="F587" s="8"/>
    </row>
    <row r="588" spans="1:6">
      <c r="A588" s="6"/>
      <c r="B588" s="7"/>
      <c r="C588" s="8"/>
      <c r="D588" s="8"/>
      <c r="E588" s="8"/>
      <c r="F588" s="8"/>
    </row>
    <row r="589" spans="1:6">
      <c r="A589" s="6"/>
      <c r="B589" s="7"/>
      <c r="C589" s="8"/>
      <c r="D589" s="8"/>
      <c r="E589" s="8"/>
      <c r="F589" s="8"/>
    </row>
    <row r="590" spans="1:6">
      <c r="A590" s="6"/>
      <c r="B590" s="7"/>
      <c r="C590" s="8"/>
      <c r="D590" s="8"/>
      <c r="E590" s="8"/>
      <c r="F590" s="8"/>
    </row>
    <row r="591" spans="1:6">
      <c r="A591" s="6"/>
      <c r="B591" s="7"/>
      <c r="C591" s="8"/>
      <c r="D591" s="8"/>
      <c r="E591" s="8"/>
      <c r="F591" s="8"/>
    </row>
    <row r="592" spans="1:6">
      <c r="A592" s="6"/>
      <c r="B592" s="7"/>
      <c r="C592" s="8"/>
      <c r="D592" s="8"/>
      <c r="E592" s="8"/>
      <c r="F592" s="8"/>
    </row>
    <row r="593" spans="1:6">
      <c r="A593" s="6"/>
      <c r="B593" s="7"/>
      <c r="C593" s="8"/>
      <c r="D593" s="8"/>
      <c r="E593" s="8"/>
      <c r="F593" s="8"/>
    </row>
    <row r="594" spans="1:6">
      <c r="A594" s="6"/>
      <c r="B594" s="7"/>
      <c r="C594" s="8"/>
      <c r="D594" s="8"/>
      <c r="E594" s="8"/>
      <c r="F594" s="8"/>
    </row>
    <row r="595" spans="1:6">
      <c r="A595" s="6"/>
      <c r="B595" s="7"/>
      <c r="C595" s="8"/>
      <c r="D595" s="8"/>
      <c r="E595" s="8"/>
      <c r="F595" s="8"/>
    </row>
    <row r="596" spans="1:6">
      <c r="A596" s="6"/>
      <c r="B596" s="7"/>
      <c r="C596" s="8"/>
      <c r="D596" s="8"/>
      <c r="E596" s="8"/>
      <c r="F596" s="8"/>
    </row>
    <row r="597" spans="1:6">
      <c r="A597" s="6"/>
      <c r="B597" s="7"/>
      <c r="C597" s="8"/>
      <c r="D597" s="8"/>
      <c r="E597" s="8"/>
      <c r="F597" s="8"/>
    </row>
    <row r="598" spans="1:6">
      <c r="A598" s="6"/>
      <c r="B598" s="7"/>
      <c r="C598" s="8"/>
      <c r="D598" s="8"/>
      <c r="E598" s="8"/>
      <c r="F598" s="8"/>
    </row>
    <row r="599" spans="1:6">
      <c r="A599" s="6"/>
      <c r="B599" s="7"/>
      <c r="C599" s="8"/>
      <c r="D599" s="8"/>
      <c r="E599" s="8"/>
      <c r="F599" s="8"/>
    </row>
    <row r="600" spans="1:6">
      <c r="A600" s="6"/>
      <c r="B600" s="7"/>
      <c r="C600" s="8"/>
      <c r="D600" s="8"/>
      <c r="E600" s="8"/>
      <c r="F600" s="8"/>
    </row>
    <row r="601" spans="1:6">
      <c r="A601" s="6"/>
      <c r="B601" s="7"/>
      <c r="C601" s="8"/>
      <c r="D601" s="8"/>
      <c r="E601" s="8"/>
      <c r="F601" s="8"/>
    </row>
    <row r="602" spans="1:6">
      <c r="A602" s="6"/>
      <c r="B602" s="7"/>
      <c r="C602" s="8"/>
      <c r="D602" s="8"/>
      <c r="E602" s="8"/>
      <c r="F602" s="8"/>
    </row>
    <row r="603" spans="1:6">
      <c r="A603" s="6"/>
      <c r="B603" s="7"/>
      <c r="C603" s="8"/>
      <c r="D603" s="8"/>
      <c r="E603" s="8"/>
      <c r="F603" s="8"/>
    </row>
    <row r="604" spans="1:6">
      <c r="A604" s="6"/>
      <c r="B604" s="7"/>
      <c r="C604" s="8"/>
      <c r="D604" s="8"/>
      <c r="E604" s="8"/>
      <c r="F604" s="8"/>
    </row>
    <row r="605" spans="1:6">
      <c r="A605" s="6"/>
      <c r="B605" s="7"/>
      <c r="C605" s="8"/>
      <c r="D605" s="8"/>
      <c r="E605" s="8"/>
      <c r="F605" s="8"/>
    </row>
    <row r="606" spans="1:6">
      <c r="A606" s="6"/>
      <c r="B606" s="7"/>
      <c r="C606" s="8"/>
      <c r="D606" s="8"/>
      <c r="E606" s="8"/>
      <c r="F606" s="8"/>
    </row>
    <row r="607" spans="1:6">
      <c r="A607" s="6"/>
      <c r="B607" s="7"/>
      <c r="C607" s="8"/>
      <c r="D607" s="8"/>
      <c r="E607" s="8"/>
      <c r="F607" s="8"/>
    </row>
    <row r="608" spans="1:6">
      <c r="A608" s="6"/>
      <c r="B608" s="7"/>
      <c r="C608" s="8"/>
      <c r="D608" s="8"/>
      <c r="E608" s="8"/>
      <c r="F608" s="8"/>
    </row>
    <row r="609" spans="1:6">
      <c r="A609" s="6"/>
      <c r="B609" s="7"/>
      <c r="C609" s="8"/>
      <c r="D609" s="8"/>
      <c r="E609" s="8"/>
      <c r="F609" s="8"/>
    </row>
    <row r="610" spans="1:6">
      <c r="A610" s="6"/>
      <c r="B610" s="7"/>
      <c r="C610" s="8"/>
      <c r="D610" s="8"/>
      <c r="E610" s="8"/>
      <c r="F610" s="8"/>
    </row>
    <row r="611" spans="1:6">
      <c r="A611" s="6"/>
      <c r="B611" s="7"/>
      <c r="C611" s="8"/>
      <c r="D611" s="8"/>
      <c r="E611" s="8"/>
      <c r="F611" s="8"/>
    </row>
    <row r="612" spans="1:6">
      <c r="A612" s="6"/>
      <c r="B612" s="7"/>
      <c r="C612" s="8"/>
      <c r="D612" s="8"/>
      <c r="E612" s="8"/>
      <c r="F612" s="8"/>
    </row>
    <row r="613" spans="1:6">
      <c r="A613" s="6"/>
      <c r="B613" s="7"/>
      <c r="C613" s="8"/>
      <c r="D613" s="8"/>
      <c r="E613" s="8"/>
      <c r="F613" s="8"/>
    </row>
    <row r="614" spans="1:6">
      <c r="A614" s="6"/>
      <c r="B614" s="7"/>
      <c r="C614" s="8"/>
      <c r="D614" s="8"/>
      <c r="E614" s="8"/>
      <c r="F614" s="8"/>
    </row>
    <row r="615" spans="1:6">
      <c r="A615" s="6"/>
      <c r="B615" s="7"/>
      <c r="C615" s="8"/>
      <c r="D615" s="8"/>
      <c r="E615" s="8"/>
      <c r="F615" s="8"/>
    </row>
    <row r="616" spans="1:6">
      <c r="A616" s="6"/>
      <c r="B616" s="7"/>
      <c r="C616" s="8"/>
      <c r="D616" s="8"/>
      <c r="E616" s="8"/>
      <c r="F616" s="8"/>
    </row>
    <row r="617" spans="1:6">
      <c r="A617" s="6"/>
      <c r="B617" s="7"/>
      <c r="C617" s="8"/>
      <c r="D617" s="8"/>
      <c r="E617" s="8"/>
      <c r="F617" s="8"/>
    </row>
    <row r="618" spans="1:6">
      <c r="A618" s="6"/>
      <c r="B618" s="7"/>
      <c r="C618" s="8"/>
      <c r="D618" s="8"/>
      <c r="E618" s="8"/>
      <c r="F618" s="8"/>
    </row>
    <row r="619" spans="1:6">
      <c r="A619" s="6"/>
      <c r="B619" s="7"/>
      <c r="C619" s="8"/>
      <c r="D619" s="8"/>
      <c r="E619" s="8"/>
      <c r="F619" s="8"/>
    </row>
    <row r="620" spans="1:6">
      <c r="A620" s="6"/>
      <c r="B620" s="7"/>
      <c r="C620" s="8"/>
      <c r="D620" s="8"/>
      <c r="E620" s="8"/>
      <c r="F620" s="8"/>
    </row>
    <row r="621" spans="1:6">
      <c r="A621" s="6"/>
      <c r="B621" s="7"/>
      <c r="C621" s="8"/>
      <c r="D621" s="8"/>
      <c r="E621" s="8"/>
      <c r="F621" s="8"/>
    </row>
    <row r="622" spans="1:6">
      <c r="A622" s="6"/>
      <c r="B622" s="7"/>
      <c r="C622" s="8"/>
      <c r="D622" s="8"/>
      <c r="E622" s="8"/>
      <c r="F622" s="8"/>
    </row>
    <row r="623" spans="1:6">
      <c r="A623" s="6"/>
      <c r="B623" s="7"/>
      <c r="C623" s="8"/>
      <c r="D623" s="8"/>
      <c r="E623" s="8"/>
      <c r="F623" s="8"/>
    </row>
    <row r="624" spans="1:6">
      <c r="A624" s="6"/>
      <c r="B624" s="7"/>
      <c r="C624" s="8"/>
      <c r="D624" s="8"/>
      <c r="E624" s="8"/>
      <c r="F624" s="8"/>
    </row>
    <row r="625" spans="1:6">
      <c r="A625" s="6"/>
      <c r="B625" s="7"/>
      <c r="C625" s="8"/>
      <c r="D625" s="8"/>
      <c r="E625" s="8"/>
      <c r="F625" s="8"/>
    </row>
    <row r="626" spans="1:6">
      <c r="A626" s="6"/>
      <c r="B626" s="7"/>
      <c r="C626" s="8"/>
      <c r="D626" s="8"/>
      <c r="E626" s="8"/>
      <c r="F626" s="8"/>
    </row>
    <row r="627" spans="1:6">
      <c r="A627" s="6"/>
      <c r="B627" s="7"/>
      <c r="C627" s="8"/>
      <c r="D627" s="8"/>
      <c r="E627" s="8"/>
      <c r="F627" s="8"/>
    </row>
    <row r="628" spans="1:6">
      <c r="A628" s="6"/>
      <c r="B628" s="7"/>
      <c r="C628" s="8"/>
      <c r="D628" s="8"/>
      <c r="E628" s="8"/>
      <c r="F628" s="8"/>
    </row>
    <row r="629" spans="1:6">
      <c r="A629" s="6"/>
      <c r="B629" s="7"/>
      <c r="C629" s="8"/>
      <c r="D629" s="8"/>
      <c r="E629" s="8"/>
      <c r="F629" s="8"/>
    </row>
    <row r="630" spans="1:6">
      <c r="A630" s="6"/>
      <c r="B630" s="7"/>
      <c r="C630" s="8"/>
      <c r="D630" s="8"/>
      <c r="E630" s="8"/>
      <c r="F630" s="8"/>
    </row>
    <row r="631" spans="1:6">
      <c r="A631" s="6"/>
      <c r="B631" s="7"/>
      <c r="C631" s="8"/>
      <c r="D631" s="8"/>
      <c r="E631" s="8"/>
      <c r="F631" s="8"/>
    </row>
    <row r="632" spans="1:6">
      <c r="A632" s="6"/>
      <c r="B632" s="7"/>
      <c r="C632" s="8"/>
      <c r="D632" s="8"/>
      <c r="E632" s="8"/>
      <c r="F632" s="8"/>
    </row>
    <row r="633" spans="1:6">
      <c r="A633" s="6"/>
      <c r="B633" s="7"/>
      <c r="C633" s="8"/>
      <c r="D633" s="8"/>
      <c r="E633" s="8"/>
      <c r="F633" s="8"/>
    </row>
    <row r="634" spans="1:6">
      <c r="A634" s="6"/>
      <c r="B634" s="7"/>
      <c r="C634" s="8"/>
      <c r="D634" s="8"/>
      <c r="E634" s="8"/>
      <c r="F634" s="8"/>
    </row>
    <row r="635" spans="1:6">
      <c r="A635" s="6"/>
      <c r="B635" s="7"/>
      <c r="C635" s="8"/>
      <c r="D635" s="8"/>
      <c r="E635" s="8"/>
      <c r="F635" s="8"/>
    </row>
    <row r="636" spans="1:6">
      <c r="A636" s="6"/>
      <c r="B636" s="7"/>
      <c r="C636" s="8"/>
      <c r="D636" s="8"/>
      <c r="E636" s="8"/>
      <c r="F636" s="8"/>
    </row>
    <row r="637" spans="1:6">
      <c r="A637" s="6"/>
      <c r="B637" s="7"/>
      <c r="C637" s="8"/>
      <c r="D637" s="8"/>
      <c r="E637" s="8"/>
      <c r="F637" s="8"/>
    </row>
    <row r="638" spans="1:6">
      <c r="A638" s="6"/>
      <c r="B638" s="7"/>
      <c r="C638" s="8"/>
      <c r="D638" s="8"/>
      <c r="E638" s="8"/>
      <c r="F638" s="8"/>
    </row>
    <row r="639" spans="1:6">
      <c r="A639" s="6"/>
      <c r="B639" s="7"/>
      <c r="C639" s="8"/>
      <c r="D639" s="8"/>
      <c r="E639" s="8"/>
      <c r="F639" s="8"/>
    </row>
    <row r="640" spans="1:6">
      <c r="A640" s="6"/>
      <c r="B640" s="7"/>
      <c r="C640" s="8"/>
      <c r="D640" s="8"/>
      <c r="E640" s="8"/>
      <c r="F640" s="8"/>
    </row>
    <row r="641" spans="1:6">
      <c r="A641" s="6"/>
      <c r="B641" s="7"/>
      <c r="C641" s="8"/>
      <c r="D641" s="8"/>
      <c r="E641" s="8"/>
      <c r="F641" s="8"/>
    </row>
    <row r="642" spans="1:6">
      <c r="A642" s="6"/>
      <c r="B642" s="7"/>
      <c r="C642" s="8"/>
      <c r="D642" s="8"/>
      <c r="E642" s="8"/>
      <c r="F642" s="8"/>
    </row>
    <row r="643" spans="1:6">
      <c r="A643" s="6"/>
      <c r="B643" s="7"/>
      <c r="C643" s="8"/>
      <c r="D643" s="8"/>
      <c r="E643" s="8"/>
      <c r="F643" s="8"/>
    </row>
    <row r="644" spans="1:6">
      <c r="A644" s="6"/>
      <c r="B644" s="7"/>
      <c r="C644" s="8"/>
      <c r="D644" s="8"/>
      <c r="E644" s="8"/>
      <c r="F644" s="8"/>
    </row>
    <row r="645" spans="1:6">
      <c r="A645" s="6"/>
      <c r="B645" s="7"/>
      <c r="C645" s="8"/>
      <c r="D645" s="8"/>
      <c r="E645" s="8"/>
      <c r="F645" s="8"/>
    </row>
    <row r="646" spans="1:6">
      <c r="A646" s="6"/>
      <c r="B646" s="7"/>
      <c r="C646" s="8"/>
      <c r="D646" s="8"/>
      <c r="E646" s="8"/>
      <c r="F646" s="8"/>
    </row>
    <row r="647" spans="1:6">
      <c r="A647" s="6"/>
      <c r="B647" s="7"/>
      <c r="C647" s="8"/>
      <c r="D647" s="8"/>
      <c r="E647" s="8"/>
      <c r="F647" s="8"/>
    </row>
    <row r="648" spans="1:6">
      <c r="A648" s="6"/>
      <c r="B648" s="7"/>
      <c r="C648" s="8"/>
      <c r="D648" s="8"/>
      <c r="E648" s="8"/>
      <c r="F648" s="8"/>
    </row>
    <row r="649" spans="1:6">
      <c r="A649" s="6"/>
      <c r="B649" s="7"/>
      <c r="C649" s="8"/>
      <c r="D649" s="8"/>
      <c r="E649" s="8"/>
      <c r="F649" s="8"/>
    </row>
    <row r="650" spans="1:6">
      <c r="A650" s="6"/>
      <c r="B650" s="7"/>
      <c r="C650" s="8"/>
      <c r="D650" s="8"/>
      <c r="E650" s="8"/>
      <c r="F650" s="8"/>
    </row>
    <row r="651" spans="1:6">
      <c r="A651" s="6"/>
      <c r="B651" s="7"/>
      <c r="C651" s="8"/>
      <c r="D651" s="8"/>
      <c r="E651" s="8"/>
      <c r="F651" s="8"/>
    </row>
    <row r="652" spans="1:6">
      <c r="A652" s="6"/>
      <c r="B652" s="7"/>
      <c r="C652" s="8"/>
      <c r="D652" s="8"/>
      <c r="E652" s="8"/>
      <c r="F652" s="8"/>
    </row>
    <row r="653" spans="1:6">
      <c r="A653" s="6"/>
      <c r="B653" s="7"/>
      <c r="C653" s="8"/>
      <c r="D653" s="8"/>
      <c r="E653" s="8"/>
      <c r="F653" s="8"/>
    </row>
    <row r="654" spans="1:6">
      <c r="A654" s="6"/>
      <c r="B654" s="7"/>
      <c r="C654" s="8"/>
      <c r="D654" s="8"/>
      <c r="E654" s="8"/>
      <c r="F654" s="8"/>
    </row>
    <row r="655" spans="1:6">
      <c r="A655" s="6"/>
      <c r="B655" s="7"/>
      <c r="C655" s="8"/>
      <c r="D655" s="8"/>
      <c r="E655" s="8"/>
      <c r="F655" s="8"/>
    </row>
    <row r="656" spans="1:6">
      <c r="A656" s="6"/>
      <c r="B656" s="7"/>
      <c r="C656" s="8"/>
      <c r="D656" s="8"/>
      <c r="E656" s="8"/>
      <c r="F656" s="8"/>
    </row>
    <row r="657" spans="1:6">
      <c r="A657" s="6"/>
      <c r="B657" s="7"/>
      <c r="C657" s="8"/>
      <c r="D657" s="8"/>
      <c r="E657" s="8"/>
      <c r="F657" s="8"/>
    </row>
    <row r="658" spans="1:6">
      <c r="A658" s="6"/>
      <c r="B658" s="7"/>
      <c r="C658" s="8"/>
      <c r="D658" s="8"/>
      <c r="E658" s="8"/>
      <c r="F658" s="8"/>
    </row>
    <row r="659" spans="1:6">
      <c r="A659" s="6"/>
      <c r="B659" s="7"/>
      <c r="C659" s="8"/>
      <c r="D659" s="8"/>
      <c r="E659" s="8"/>
      <c r="F659" s="8"/>
    </row>
    <row r="660" spans="1:6">
      <c r="A660" s="6"/>
      <c r="B660" s="7"/>
      <c r="C660" s="8"/>
      <c r="D660" s="8"/>
      <c r="E660" s="8"/>
      <c r="F660" s="8"/>
    </row>
    <row r="661" spans="1:6">
      <c r="A661" s="6"/>
      <c r="B661" s="7"/>
      <c r="C661" s="8"/>
      <c r="D661" s="8"/>
      <c r="E661" s="8"/>
      <c r="F661" s="8"/>
    </row>
    <row r="662" spans="1:6">
      <c r="A662" s="6"/>
      <c r="B662" s="7"/>
      <c r="C662" s="8"/>
      <c r="D662" s="8"/>
      <c r="E662" s="8"/>
      <c r="F662" s="8"/>
    </row>
    <row r="663" spans="1:6">
      <c r="A663" s="6"/>
      <c r="B663" s="7"/>
      <c r="C663" s="8"/>
      <c r="D663" s="8"/>
      <c r="E663" s="8"/>
      <c r="F663" s="8"/>
    </row>
    <row r="664" spans="1:6">
      <c r="A664" s="6"/>
      <c r="B664" s="7"/>
      <c r="C664" s="8"/>
      <c r="D664" s="8"/>
      <c r="E664" s="8"/>
      <c r="F664" s="8"/>
    </row>
    <row r="665" spans="1:6">
      <c r="A665" s="6"/>
      <c r="B665" s="7"/>
      <c r="C665" s="8"/>
      <c r="D665" s="8"/>
      <c r="E665" s="8"/>
      <c r="F665" s="8"/>
    </row>
    <row r="666" spans="1:6">
      <c r="A666" s="6"/>
      <c r="B666" s="7"/>
      <c r="C666" s="8"/>
      <c r="D666" s="8"/>
      <c r="E666" s="8"/>
      <c r="F666" s="8"/>
    </row>
    <row r="667" spans="1:6">
      <c r="A667" s="6"/>
      <c r="B667" s="7"/>
      <c r="C667" s="8"/>
      <c r="D667" s="8"/>
      <c r="E667" s="8"/>
      <c r="F667" s="8"/>
    </row>
    <row r="668" spans="1:6">
      <c r="A668" s="6"/>
      <c r="B668" s="7"/>
      <c r="C668" s="8"/>
      <c r="D668" s="8"/>
      <c r="E668" s="8"/>
      <c r="F668" s="8"/>
    </row>
    <row r="669" spans="1:6">
      <c r="A669" s="6"/>
      <c r="B669" s="7"/>
      <c r="C669" s="8"/>
      <c r="D669" s="8"/>
      <c r="E669" s="8"/>
      <c r="F669" s="8"/>
    </row>
    <row r="670" spans="1:6">
      <c r="A670" s="6"/>
      <c r="B670" s="7"/>
      <c r="C670" s="8"/>
      <c r="D670" s="8"/>
      <c r="E670" s="8"/>
      <c r="F670" s="8"/>
    </row>
    <row r="671" spans="1:6">
      <c r="A671" s="6"/>
      <c r="B671" s="7"/>
      <c r="C671" s="8"/>
      <c r="D671" s="8"/>
      <c r="E671" s="8"/>
      <c r="F671" s="8"/>
    </row>
    <row r="672" spans="1:6">
      <c r="A672" s="6"/>
      <c r="B672" s="7"/>
      <c r="C672" s="8"/>
      <c r="D672" s="8"/>
      <c r="E672" s="8"/>
      <c r="F672" s="8"/>
    </row>
    <row r="673" spans="1:6">
      <c r="A673" s="6"/>
      <c r="B673" s="7"/>
      <c r="C673" s="8"/>
      <c r="D673" s="8"/>
      <c r="E673" s="8"/>
      <c r="F673" s="8"/>
    </row>
    <row r="674" spans="1:6">
      <c r="A674" s="6"/>
      <c r="B674" s="7"/>
      <c r="C674" s="8"/>
      <c r="D674" s="8"/>
      <c r="E674" s="8"/>
      <c r="F674" s="8"/>
    </row>
    <row r="675" spans="1:6">
      <c r="A675" s="6"/>
      <c r="B675" s="7"/>
      <c r="C675" s="8"/>
      <c r="D675" s="8"/>
      <c r="E675" s="8"/>
      <c r="F675" s="8"/>
    </row>
    <row r="676" spans="1:6">
      <c r="A676" s="6"/>
      <c r="B676" s="7"/>
      <c r="C676" s="8"/>
      <c r="D676" s="8"/>
      <c r="E676" s="8"/>
      <c r="F676" s="8"/>
    </row>
    <row r="677" spans="1:6">
      <c r="A677" s="6"/>
      <c r="B677" s="7"/>
      <c r="C677" s="8"/>
      <c r="D677" s="8"/>
      <c r="E677" s="8"/>
      <c r="F677" s="8"/>
    </row>
    <row r="678" spans="1:6">
      <c r="A678" s="6"/>
      <c r="B678" s="7"/>
      <c r="C678" s="8"/>
      <c r="D678" s="8"/>
      <c r="E678" s="8"/>
      <c r="F678" s="8"/>
    </row>
    <row r="679" spans="1:6">
      <c r="A679" s="6"/>
      <c r="B679" s="7"/>
      <c r="C679" s="8"/>
      <c r="D679" s="8"/>
      <c r="E679" s="8"/>
      <c r="F679" s="8"/>
    </row>
    <row r="680" spans="1:6">
      <c r="A680" s="6"/>
      <c r="B680" s="7"/>
      <c r="C680" s="8"/>
      <c r="D680" s="8"/>
      <c r="E680" s="8"/>
      <c r="F680" s="8"/>
    </row>
    <row r="681" spans="1:6">
      <c r="A681" s="6"/>
      <c r="B681" s="7"/>
      <c r="C681" s="8"/>
      <c r="D681" s="8"/>
      <c r="E681" s="8"/>
      <c r="F681" s="8"/>
    </row>
    <row r="682" spans="1:6">
      <c r="A682" s="6"/>
      <c r="B682" s="7"/>
      <c r="C682" s="8"/>
      <c r="D682" s="8"/>
      <c r="E682" s="8"/>
      <c r="F682" s="8"/>
    </row>
    <row r="683" spans="1:6">
      <c r="A683" s="6"/>
      <c r="B683" s="7"/>
      <c r="C683" s="8"/>
      <c r="D683" s="8"/>
      <c r="E683" s="8"/>
      <c r="F683" s="8"/>
    </row>
    <row r="684" spans="1:6">
      <c r="A684" s="6"/>
      <c r="B684" s="7"/>
      <c r="C684" s="8"/>
      <c r="D684" s="8"/>
      <c r="E684" s="8"/>
      <c r="F684" s="8"/>
    </row>
    <row r="685" spans="1:6">
      <c r="A685" s="6"/>
      <c r="B685" s="7"/>
      <c r="C685" s="8"/>
      <c r="D685" s="8"/>
      <c r="E685" s="8"/>
      <c r="F685" s="8"/>
    </row>
    <row r="686" spans="1:6">
      <c r="A686" s="6"/>
      <c r="B686" s="7"/>
      <c r="C686" s="8"/>
      <c r="D686" s="8"/>
      <c r="E686" s="8"/>
      <c r="F686" s="8"/>
    </row>
    <row r="687" spans="1:6">
      <c r="A687" s="6"/>
      <c r="B687" s="7"/>
      <c r="C687" s="8"/>
      <c r="D687" s="8"/>
      <c r="E687" s="8"/>
      <c r="F687" s="8"/>
    </row>
    <row r="688" spans="1:6">
      <c r="A688" s="6"/>
      <c r="B688" s="7"/>
      <c r="C688" s="8"/>
      <c r="D688" s="8"/>
      <c r="E688" s="8"/>
      <c r="F688" s="8"/>
    </row>
    <row r="689" spans="1:6">
      <c r="A689" s="6"/>
      <c r="B689" s="7"/>
      <c r="C689" s="8"/>
      <c r="D689" s="8"/>
      <c r="E689" s="8"/>
      <c r="F689" s="8"/>
    </row>
    <row r="690" spans="1:6">
      <c r="A690" s="6"/>
      <c r="B690" s="7"/>
      <c r="C690" s="8"/>
      <c r="D690" s="8"/>
      <c r="E690" s="8"/>
      <c r="F690" s="8"/>
    </row>
    <row r="691" spans="1:6">
      <c r="A691" s="6"/>
      <c r="B691" s="7"/>
      <c r="C691" s="8"/>
      <c r="D691" s="8"/>
      <c r="E691" s="8"/>
      <c r="F691" s="8"/>
    </row>
    <row r="692" spans="1:6">
      <c r="A692" s="6"/>
      <c r="B692" s="7"/>
      <c r="C692" s="8"/>
      <c r="D692" s="8"/>
      <c r="E692" s="8"/>
      <c r="F692" s="8"/>
    </row>
    <row r="693" spans="1:6">
      <c r="A693" s="6"/>
      <c r="B693" s="7"/>
      <c r="C693" s="8"/>
      <c r="D693" s="8"/>
      <c r="E693" s="8"/>
      <c r="F693" s="8"/>
    </row>
    <row r="694" spans="1:6">
      <c r="A694" s="6"/>
      <c r="B694" s="7"/>
      <c r="C694" s="8"/>
      <c r="D694" s="8"/>
      <c r="E694" s="8"/>
      <c r="F694" s="8"/>
    </row>
    <row r="695" spans="1:6">
      <c r="A695" s="6"/>
      <c r="B695" s="7"/>
      <c r="C695" s="8"/>
      <c r="D695" s="8"/>
      <c r="E695" s="8"/>
      <c r="F695" s="8"/>
    </row>
    <row r="696" spans="1:6">
      <c r="A696" s="6"/>
      <c r="B696" s="7"/>
      <c r="C696" s="8"/>
      <c r="D696" s="8"/>
      <c r="E696" s="8"/>
      <c r="F696" s="8"/>
    </row>
    <row r="697" spans="1:6">
      <c r="A697" s="6"/>
      <c r="B697" s="7"/>
      <c r="C697" s="8"/>
      <c r="D697" s="8"/>
      <c r="E697" s="8"/>
      <c r="F697" s="8"/>
    </row>
    <row r="698" spans="1:6">
      <c r="A698" s="6"/>
      <c r="B698" s="7"/>
      <c r="C698" s="8"/>
      <c r="D698" s="8"/>
      <c r="E698" s="8"/>
      <c r="F698" s="8"/>
    </row>
    <row r="699" spans="1:6">
      <c r="A699" s="6"/>
      <c r="B699" s="7"/>
      <c r="C699" s="8"/>
      <c r="D699" s="8"/>
      <c r="E699" s="8"/>
      <c r="F699" s="8"/>
    </row>
    <row r="700" spans="1:6">
      <c r="A700" s="6"/>
      <c r="B700" s="7"/>
      <c r="C700" s="8"/>
      <c r="D700" s="8"/>
      <c r="E700" s="8"/>
      <c r="F700" s="8"/>
    </row>
    <row r="701" spans="1:6">
      <c r="A701" s="6"/>
      <c r="B701" s="7"/>
      <c r="C701" s="8"/>
      <c r="D701" s="8"/>
      <c r="E701" s="8"/>
      <c r="F701" s="8"/>
    </row>
    <row r="702" spans="1:6">
      <c r="A702" s="6"/>
      <c r="B702" s="7"/>
      <c r="C702" s="8"/>
      <c r="D702" s="8"/>
      <c r="E702" s="8"/>
      <c r="F702" s="8"/>
    </row>
    <row r="703" spans="1:6">
      <c r="A703" s="6"/>
      <c r="B703" s="7"/>
      <c r="C703" s="8"/>
      <c r="D703" s="8"/>
      <c r="E703" s="8"/>
      <c r="F703" s="8"/>
    </row>
    <row r="704" spans="1:6">
      <c r="A704" s="6"/>
      <c r="B704" s="7"/>
      <c r="C704" s="8"/>
      <c r="D704" s="8"/>
      <c r="E704" s="8"/>
      <c r="F704" s="8"/>
    </row>
    <row r="705" spans="1:6">
      <c r="A705" s="6"/>
      <c r="B705" s="7"/>
      <c r="C705" s="8"/>
      <c r="D705" s="8"/>
      <c r="E705" s="8"/>
      <c r="F705" s="8"/>
    </row>
    <row r="706" spans="1:6">
      <c r="A706" s="6"/>
      <c r="B706" s="7"/>
      <c r="C706" s="8"/>
      <c r="D706" s="8"/>
      <c r="E706" s="8"/>
      <c r="F706" s="8"/>
    </row>
    <row r="707" spans="1:6">
      <c r="A707" s="6"/>
      <c r="B707" s="7"/>
      <c r="C707" s="8"/>
      <c r="D707" s="8"/>
      <c r="E707" s="8"/>
      <c r="F707" s="8"/>
    </row>
    <row r="708" spans="1:6">
      <c r="A708" s="6"/>
      <c r="B708" s="7"/>
      <c r="C708" s="8"/>
      <c r="D708" s="8"/>
      <c r="E708" s="8"/>
      <c r="F708" s="8"/>
    </row>
    <row r="709" spans="1:6">
      <c r="A709" s="6"/>
      <c r="B709" s="7"/>
      <c r="C709" s="8"/>
      <c r="D709" s="8"/>
      <c r="E709" s="8"/>
      <c r="F709" s="8"/>
    </row>
    <row r="710" spans="1:6">
      <c r="A710" s="6"/>
      <c r="B710" s="7"/>
      <c r="C710" s="8"/>
      <c r="D710" s="8"/>
      <c r="E710" s="8"/>
      <c r="F710" s="8"/>
    </row>
    <row r="711" spans="1:6">
      <c r="A711" s="6"/>
      <c r="B711" s="7"/>
      <c r="C711" s="8"/>
      <c r="D711" s="8"/>
      <c r="E711" s="8"/>
      <c r="F711" s="8"/>
    </row>
    <row r="712" spans="1:6">
      <c r="A712" s="6"/>
      <c r="B712" s="7"/>
      <c r="C712" s="8"/>
      <c r="D712" s="8"/>
      <c r="E712" s="8"/>
      <c r="F712" s="8"/>
    </row>
    <row r="713" spans="1:6">
      <c r="A713" s="6"/>
      <c r="B713" s="7"/>
      <c r="C713" s="8"/>
      <c r="D713" s="8"/>
      <c r="E713" s="8"/>
      <c r="F713" s="8"/>
    </row>
    <row r="714" spans="1:6">
      <c r="A714" s="6"/>
      <c r="B714" s="7"/>
      <c r="C714" s="8"/>
      <c r="D714" s="8"/>
      <c r="E714" s="8"/>
      <c r="F714" s="8"/>
    </row>
    <row r="715" spans="1:6">
      <c r="A715" s="6"/>
      <c r="B715" s="7"/>
      <c r="C715" s="8"/>
      <c r="D715" s="8"/>
      <c r="E715" s="8"/>
      <c r="F715" s="8"/>
    </row>
    <row r="716" spans="1:6">
      <c r="A716" s="6"/>
      <c r="B716" s="7"/>
      <c r="C716" s="8"/>
      <c r="D716" s="8"/>
      <c r="E716" s="8"/>
      <c r="F716" s="8"/>
    </row>
    <row r="717" spans="1:6">
      <c r="A717" s="6"/>
      <c r="B717" s="7"/>
      <c r="C717" s="8"/>
      <c r="D717" s="8"/>
      <c r="E717" s="8"/>
      <c r="F717" s="8"/>
    </row>
    <row r="718" spans="1:6">
      <c r="A718" s="6"/>
      <c r="B718" s="7"/>
      <c r="C718" s="8"/>
      <c r="D718" s="8"/>
      <c r="E718" s="8"/>
      <c r="F718" s="8"/>
    </row>
    <row r="719" spans="1:6">
      <c r="A719" s="6"/>
      <c r="B719" s="7"/>
      <c r="C719" s="8"/>
      <c r="D719" s="8"/>
      <c r="E719" s="8"/>
      <c r="F719" s="8"/>
    </row>
    <row r="720" spans="1:6">
      <c r="A720" s="6"/>
      <c r="B720" s="7"/>
      <c r="C720" s="8"/>
      <c r="D720" s="8"/>
      <c r="E720" s="8"/>
      <c r="F720" s="8"/>
    </row>
    <row r="721" spans="1:6">
      <c r="A721" s="6"/>
      <c r="B721" s="7"/>
      <c r="C721" s="8"/>
      <c r="D721" s="8"/>
      <c r="E721" s="8"/>
      <c r="F721" s="8"/>
    </row>
    <row r="722" spans="1:6">
      <c r="A722" s="6"/>
      <c r="B722" s="7"/>
      <c r="C722" s="8"/>
      <c r="D722" s="8"/>
      <c r="E722" s="8"/>
      <c r="F722" s="8"/>
    </row>
    <row r="723" spans="1:6">
      <c r="A723" s="6"/>
      <c r="B723" s="7"/>
      <c r="C723" s="8"/>
      <c r="D723" s="8"/>
      <c r="E723" s="8"/>
      <c r="F723" s="8"/>
    </row>
    <row r="724" spans="1:6">
      <c r="A724" s="6"/>
      <c r="B724" s="7"/>
      <c r="C724" s="8"/>
      <c r="D724" s="8"/>
      <c r="E724" s="8"/>
      <c r="F724" s="8"/>
    </row>
    <row r="725" spans="1:6">
      <c r="A725" s="6"/>
      <c r="B725" s="7"/>
      <c r="C725" s="8"/>
      <c r="D725" s="8"/>
      <c r="E725" s="8"/>
      <c r="F725" s="8"/>
    </row>
    <row r="726" spans="1:6">
      <c r="A726" s="6"/>
      <c r="B726" s="7"/>
      <c r="C726" s="8"/>
      <c r="D726" s="8"/>
      <c r="E726" s="8"/>
      <c r="F726" s="8"/>
    </row>
    <row r="727" spans="1:6">
      <c r="A727" s="6"/>
      <c r="B727" s="7"/>
      <c r="C727" s="8"/>
      <c r="D727" s="8"/>
      <c r="E727" s="8"/>
      <c r="F727" s="8"/>
    </row>
    <row r="728" spans="1:6">
      <c r="A728" s="6"/>
      <c r="B728" s="7"/>
      <c r="C728" s="8"/>
      <c r="D728" s="8"/>
      <c r="E728" s="8"/>
      <c r="F728" s="8"/>
    </row>
    <row r="729" spans="1:6">
      <c r="A729" s="6"/>
      <c r="B729" s="7"/>
      <c r="C729" s="8"/>
      <c r="D729" s="8"/>
      <c r="E729" s="8"/>
      <c r="F729" s="8"/>
    </row>
    <row r="730" spans="1:6">
      <c r="A730" s="6"/>
      <c r="B730" s="7"/>
      <c r="C730" s="8"/>
      <c r="D730" s="8"/>
      <c r="E730" s="8"/>
      <c r="F730" s="8"/>
    </row>
    <row r="731" spans="1:6">
      <c r="A731" s="6"/>
      <c r="B731" s="7"/>
      <c r="C731" s="8"/>
      <c r="D731" s="8"/>
      <c r="E731" s="8"/>
      <c r="F731" s="8"/>
    </row>
    <row r="732" spans="1:6">
      <c r="A732" s="6"/>
      <c r="B732" s="7"/>
      <c r="C732" s="8"/>
      <c r="D732" s="8"/>
      <c r="E732" s="8"/>
      <c r="F732" s="8"/>
    </row>
    <row r="733" spans="1:6">
      <c r="A733" s="6"/>
      <c r="B733" s="7"/>
      <c r="C733" s="8"/>
      <c r="D733" s="8"/>
      <c r="E733" s="8"/>
      <c r="F733" s="8"/>
    </row>
    <row r="734" spans="1:6">
      <c r="A734" s="6"/>
      <c r="B734" s="7"/>
      <c r="C734" s="8"/>
      <c r="D734" s="8"/>
      <c r="E734" s="8"/>
      <c r="F734" s="8"/>
    </row>
    <row r="735" spans="1:6">
      <c r="A735" s="6"/>
      <c r="B735" s="7"/>
      <c r="C735" s="8"/>
      <c r="D735" s="8"/>
      <c r="E735" s="8"/>
      <c r="F735" s="8"/>
    </row>
    <row r="736" spans="1:6">
      <c r="A736" s="6"/>
      <c r="B736" s="7"/>
      <c r="C736" s="8"/>
      <c r="D736" s="8"/>
      <c r="E736" s="8"/>
      <c r="F736" s="8"/>
    </row>
    <row r="737" spans="1:6">
      <c r="A737" s="6"/>
      <c r="B737" s="7"/>
      <c r="C737" s="8"/>
      <c r="D737" s="8"/>
      <c r="E737" s="8"/>
      <c r="F737" s="8"/>
    </row>
    <row r="738" spans="1:6">
      <c r="A738" s="6"/>
      <c r="B738" s="7"/>
      <c r="C738" s="8"/>
      <c r="D738" s="8"/>
      <c r="E738" s="8"/>
      <c r="F738" s="8"/>
    </row>
    <row r="739" spans="1:6">
      <c r="A739" s="6"/>
      <c r="B739" s="7"/>
      <c r="C739" s="8"/>
      <c r="D739" s="8"/>
      <c r="E739" s="8"/>
      <c r="F739" s="8"/>
    </row>
    <row r="740" spans="1:6">
      <c r="A740" s="6"/>
      <c r="B740" s="7"/>
      <c r="C740" s="8"/>
      <c r="D740" s="8"/>
      <c r="E740" s="8"/>
      <c r="F740" s="8"/>
    </row>
    <row r="741" spans="1:6">
      <c r="A741" s="6"/>
      <c r="B741" s="7"/>
      <c r="C741" s="8"/>
      <c r="D741" s="8"/>
      <c r="E741" s="8"/>
      <c r="F741" s="8"/>
    </row>
    <row r="742" spans="1:6">
      <c r="A742" s="6"/>
      <c r="B742" s="7"/>
      <c r="C742" s="8"/>
      <c r="D742" s="8"/>
      <c r="E742" s="8"/>
      <c r="F742" s="8"/>
    </row>
    <row r="743" spans="1:6">
      <c r="A743" s="6"/>
      <c r="B743" s="7"/>
      <c r="C743" s="8"/>
      <c r="D743" s="8"/>
      <c r="E743" s="8"/>
      <c r="F743" s="8"/>
    </row>
    <row r="744" spans="1:6">
      <c r="A744" s="6"/>
      <c r="B744" s="7"/>
      <c r="C744" s="8"/>
      <c r="D744" s="8"/>
      <c r="E744" s="8"/>
      <c r="F744" s="8"/>
    </row>
    <row r="745" spans="1:6">
      <c r="A745" s="6"/>
      <c r="B745" s="7"/>
      <c r="C745" s="8"/>
      <c r="D745" s="8"/>
      <c r="E745" s="8"/>
      <c r="F745" s="8"/>
    </row>
    <row r="746" spans="1:6">
      <c r="A746" s="6"/>
      <c r="B746" s="7"/>
      <c r="C746" s="8"/>
      <c r="D746" s="8"/>
      <c r="E746" s="8"/>
      <c r="F746" s="8"/>
    </row>
    <row r="747" spans="1:6">
      <c r="A747" s="6"/>
      <c r="B747" s="7"/>
      <c r="C747" s="8"/>
      <c r="D747" s="8"/>
      <c r="E747" s="8"/>
      <c r="F747" s="8"/>
    </row>
    <row r="748" spans="1:6">
      <c r="A748" s="6"/>
      <c r="B748" s="7"/>
      <c r="C748" s="8"/>
      <c r="D748" s="8"/>
      <c r="E748" s="8"/>
      <c r="F748" s="8"/>
    </row>
    <row r="749" spans="1:6">
      <c r="A749" s="6"/>
      <c r="B749" s="7"/>
      <c r="C749" s="8"/>
      <c r="D749" s="8"/>
      <c r="E749" s="8"/>
      <c r="F749" s="8"/>
    </row>
    <row r="750" spans="1:6">
      <c r="A750" s="6"/>
      <c r="B750" s="7"/>
      <c r="C750" s="8"/>
      <c r="D750" s="8"/>
      <c r="E750" s="8"/>
      <c r="F750" s="8"/>
    </row>
    <row r="751" spans="1:6">
      <c r="A751" s="6"/>
      <c r="B751" s="7"/>
      <c r="C751" s="8"/>
      <c r="D751" s="8"/>
      <c r="E751" s="8"/>
      <c r="F751" s="8"/>
    </row>
    <row r="752" spans="1:6">
      <c r="A752" s="6"/>
      <c r="B752" s="7"/>
      <c r="C752" s="8"/>
      <c r="D752" s="8"/>
      <c r="E752" s="8"/>
      <c r="F752" s="8"/>
    </row>
    <row r="753" spans="1:6">
      <c r="A753" s="6"/>
      <c r="B753" s="7"/>
      <c r="C753" s="8"/>
      <c r="D753" s="8"/>
      <c r="E753" s="8"/>
      <c r="F753" s="8"/>
    </row>
    <row r="754" spans="1:6">
      <c r="A754" s="6"/>
      <c r="B754" s="7"/>
      <c r="C754" s="8"/>
      <c r="D754" s="8"/>
      <c r="E754" s="8"/>
      <c r="F754" s="8"/>
    </row>
    <row r="755" spans="1:6">
      <c r="A755" s="6"/>
      <c r="B755" s="7"/>
      <c r="C755" s="8"/>
      <c r="D755" s="8"/>
      <c r="E755" s="8"/>
      <c r="F755" s="8"/>
    </row>
    <row r="756" spans="1:6">
      <c r="A756" s="6"/>
      <c r="B756" s="7"/>
      <c r="C756" s="8"/>
      <c r="D756" s="8"/>
      <c r="E756" s="8"/>
      <c r="F756" s="8"/>
    </row>
    <row r="757" spans="1:6">
      <c r="A757" s="6"/>
      <c r="B757" s="7"/>
      <c r="C757" s="8"/>
      <c r="D757" s="8"/>
      <c r="E757" s="8"/>
      <c r="F757" s="8"/>
    </row>
    <row r="758" spans="1:6">
      <c r="A758" s="6"/>
      <c r="B758" s="7"/>
      <c r="C758" s="8"/>
      <c r="D758" s="8"/>
      <c r="E758" s="8"/>
      <c r="F758" s="8"/>
    </row>
    <row r="759" spans="1:6">
      <c r="A759" s="6"/>
      <c r="B759" s="7"/>
      <c r="C759" s="8"/>
      <c r="D759" s="8"/>
      <c r="E759" s="8"/>
      <c r="F759" s="8"/>
    </row>
    <row r="760" spans="1:6">
      <c r="A760" s="6"/>
      <c r="B760" s="7"/>
      <c r="C760" s="8"/>
      <c r="D760" s="8"/>
      <c r="E760" s="8"/>
      <c r="F760" s="8"/>
    </row>
    <row r="761" spans="1:6">
      <c r="A761" s="6"/>
      <c r="B761" s="7"/>
      <c r="C761" s="8"/>
      <c r="D761" s="8"/>
      <c r="E761" s="8"/>
      <c r="F761" s="8"/>
    </row>
    <row r="762" spans="1:6">
      <c r="A762" s="6"/>
      <c r="B762" s="7"/>
      <c r="C762" s="8"/>
      <c r="D762" s="8"/>
      <c r="E762" s="8"/>
      <c r="F762" s="8"/>
    </row>
    <row r="763" spans="1:6">
      <c r="A763" s="6"/>
      <c r="B763" s="7"/>
      <c r="C763" s="8"/>
      <c r="D763" s="8"/>
      <c r="E763" s="8"/>
      <c r="F763" s="8"/>
    </row>
    <row r="764" spans="1:6">
      <c r="A764" s="6"/>
      <c r="B764" s="7"/>
      <c r="C764" s="8"/>
      <c r="D764" s="8"/>
      <c r="E764" s="8"/>
      <c r="F764" s="8"/>
    </row>
    <row r="765" spans="1:6">
      <c r="A765" s="6"/>
      <c r="B765" s="7"/>
      <c r="C765" s="8"/>
      <c r="D765" s="8"/>
      <c r="E765" s="8"/>
      <c r="F765" s="8"/>
    </row>
    <row r="766" spans="1:6">
      <c r="A766" s="6"/>
      <c r="B766" s="7"/>
      <c r="C766" s="8"/>
      <c r="D766" s="8"/>
      <c r="E766" s="8"/>
      <c r="F766" s="8"/>
    </row>
    <row r="767" spans="1:6">
      <c r="A767" s="6"/>
      <c r="B767" s="7"/>
      <c r="C767" s="8"/>
      <c r="D767" s="8"/>
      <c r="E767" s="8"/>
      <c r="F767" s="8"/>
    </row>
    <row r="768" spans="1:6">
      <c r="A768" s="6"/>
      <c r="B768" s="7"/>
      <c r="C768" s="8"/>
      <c r="D768" s="8"/>
      <c r="E768" s="8"/>
      <c r="F768" s="8"/>
    </row>
    <row r="769" spans="1:6">
      <c r="A769" s="6"/>
      <c r="B769" s="7"/>
      <c r="C769" s="8"/>
      <c r="D769" s="8"/>
      <c r="E769" s="8"/>
      <c r="F769" s="8"/>
    </row>
    <row r="770" spans="1:6">
      <c r="A770" s="6"/>
      <c r="B770" s="7"/>
      <c r="C770" s="8"/>
      <c r="D770" s="8"/>
      <c r="E770" s="8"/>
      <c r="F770" s="8"/>
    </row>
    <row r="771" spans="1:6">
      <c r="A771" s="6"/>
      <c r="B771" s="7"/>
      <c r="C771" s="8"/>
      <c r="D771" s="8"/>
      <c r="E771" s="8"/>
      <c r="F771" s="8"/>
    </row>
    <row r="772" spans="1:6">
      <c r="A772" s="6"/>
      <c r="B772" s="7"/>
      <c r="C772" s="8"/>
      <c r="D772" s="8"/>
      <c r="E772" s="8"/>
      <c r="F772" s="8"/>
    </row>
    <row r="773" spans="1:6">
      <c r="A773" s="6"/>
      <c r="B773" s="7"/>
      <c r="C773" s="8"/>
      <c r="D773" s="8"/>
      <c r="E773" s="8"/>
      <c r="F773" s="8"/>
    </row>
    <row r="774" spans="1:6">
      <c r="A774" s="6"/>
      <c r="B774" s="7"/>
      <c r="C774" s="8"/>
      <c r="D774" s="8"/>
      <c r="E774" s="8"/>
      <c r="F774" s="8"/>
    </row>
    <row r="775" spans="1:6">
      <c r="A775" s="6"/>
      <c r="B775" s="7"/>
      <c r="C775" s="8"/>
      <c r="D775" s="8"/>
      <c r="E775" s="8"/>
      <c r="F775" s="8"/>
    </row>
    <row r="776" spans="1:6">
      <c r="A776" s="6"/>
      <c r="B776" s="7"/>
      <c r="C776" s="8"/>
      <c r="D776" s="8"/>
      <c r="E776" s="8"/>
      <c r="F776" s="8"/>
    </row>
    <row r="777" spans="1:6">
      <c r="A777" s="6"/>
      <c r="B777" s="7"/>
      <c r="C777" s="8"/>
      <c r="D777" s="8"/>
      <c r="E777" s="8"/>
      <c r="F777" s="8"/>
    </row>
    <row r="778" spans="1:6">
      <c r="A778" s="6"/>
      <c r="B778" s="7"/>
      <c r="C778" s="8"/>
      <c r="D778" s="8"/>
      <c r="E778" s="8"/>
      <c r="F778" s="8"/>
    </row>
    <row r="779" spans="1:6">
      <c r="A779" s="6"/>
      <c r="B779" s="7"/>
      <c r="C779" s="8"/>
      <c r="D779" s="8"/>
      <c r="E779" s="8"/>
      <c r="F779" s="8"/>
    </row>
    <row r="780" spans="1:6">
      <c r="A780" s="6"/>
      <c r="B780" s="7"/>
      <c r="C780" s="8"/>
      <c r="D780" s="8"/>
      <c r="E780" s="8"/>
      <c r="F780" s="8"/>
    </row>
    <row r="781" spans="1:6">
      <c r="A781" s="6"/>
      <c r="B781" s="7"/>
      <c r="C781" s="8"/>
      <c r="D781" s="8"/>
      <c r="E781" s="8"/>
      <c r="F781" s="8"/>
    </row>
    <row r="782" spans="1:6">
      <c r="A782" s="6"/>
      <c r="B782" s="7"/>
      <c r="C782" s="8"/>
      <c r="D782" s="8"/>
      <c r="E782" s="8"/>
      <c r="F782" s="8"/>
    </row>
    <row r="783" spans="1:6">
      <c r="A783" s="6"/>
      <c r="B783" s="7"/>
      <c r="C783" s="8"/>
      <c r="D783" s="8"/>
      <c r="E783" s="8"/>
      <c r="F783" s="8"/>
    </row>
    <row r="784" spans="1:6">
      <c r="A784" s="6"/>
      <c r="B784" s="7"/>
      <c r="C784" s="8"/>
      <c r="D784" s="8"/>
      <c r="E784" s="8"/>
      <c r="F784" s="8"/>
    </row>
    <row r="785" spans="1:6">
      <c r="A785" s="6"/>
      <c r="B785" s="7"/>
      <c r="C785" s="8"/>
      <c r="D785" s="8"/>
      <c r="E785" s="8"/>
      <c r="F785" s="8"/>
    </row>
    <row r="786" spans="1:6">
      <c r="A786" s="6"/>
      <c r="B786" s="7"/>
      <c r="C786" s="8"/>
      <c r="D786" s="8"/>
      <c r="E786" s="8"/>
      <c r="F786" s="8"/>
    </row>
    <row r="787" spans="1:6">
      <c r="A787" s="6"/>
      <c r="B787" s="7"/>
      <c r="C787" s="8"/>
      <c r="D787" s="8"/>
      <c r="E787" s="8"/>
      <c r="F787" s="8"/>
    </row>
    <row r="788" spans="1:6">
      <c r="A788" s="6"/>
      <c r="B788" s="7"/>
      <c r="C788" s="8"/>
      <c r="D788" s="8"/>
      <c r="E788" s="8"/>
      <c r="F788" s="8"/>
    </row>
    <row r="789" spans="1:6">
      <c r="A789" s="6"/>
      <c r="B789" s="7"/>
      <c r="C789" s="8"/>
      <c r="D789" s="8"/>
      <c r="E789" s="8"/>
      <c r="F789" s="8"/>
    </row>
    <row r="790" spans="1:6">
      <c r="A790" s="6"/>
      <c r="B790" s="7"/>
      <c r="C790" s="8"/>
      <c r="D790" s="8"/>
      <c r="E790" s="8"/>
      <c r="F790" s="8"/>
    </row>
    <row r="791" spans="1:6">
      <c r="A791" s="6"/>
      <c r="B791" s="7"/>
      <c r="C791" s="8"/>
      <c r="D791" s="8"/>
      <c r="E791" s="8"/>
      <c r="F791" s="8"/>
    </row>
    <row r="792" spans="1:6">
      <c r="A792" s="6"/>
      <c r="B792" s="7"/>
      <c r="C792" s="8"/>
      <c r="D792" s="8"/>
      <c r="E792" s="8"/>
      <c r="F792" s="8"/>
    </row>
    <row r="793" spans="1:6">
      <c r="A793" s="6"/>
      <c r="B793" s="7"/>
      <c r="C793" s="8"/>
      <c r="D793" s="8"/>
      <c r="E793" s="8"/>
      <c r="F793" s="8"/>
    </row>
    <row r="794" spans="1:6">
      <c r="A794" s="6"/>
      <c r="B794" s="7"/>
      <c r="C794" s="8"/>
      <c r="D794" s="8"/>
      <c r="E794" s="8"/>
      <c r="F794" s="8"/>
    </row>
    <row r="795" spans="1:6">
      <c r="A795" s="6"/>
      <c r="B795" s="7"/>
      <c r="C795" s="8"/>
      <c r="D795" s="8"/>
      <c r="E795" s="8"/>
      <c r="F795" s="8"/>
    </row>
    <row r="796" spans="1:6">
      <c r="A796" s="6"/>
      <c r="B796" s="7"/>
      <c r="C796" s="8"/>
      <c r="D796" s="8"/>
      <c r="E796" s="8"/>
      <c r="F796" s="8"/>
    </row>
    <row r="797" spans="1:6">
      <c r="A797" s="6"/>
      <c r="B797" s="7"/>
      <c r="C797" s="8"/>
      <c r="D797" s="8"/>
      <c r="E797" s="8"/>
      <c r="F797" s="8"/>
    </row>
    <row r="798" spans="1:6">
      <c r="A798" s="6"/>
      <c r="B798" s="7"/>
      <c r="C798" s="8"/>
      <c r="D798" s="8"/>
      <c r="E798" s="8"/>
      <c r="F798" s="8"/>
    </row>
    <row r="799" spans="1:6">
      <c r="A799" s="6"/>
      <c r="B799" s="7"/>
      <c r="C799" s="8"/>
      <c r="D799" s="8"/>
      <c r="E799" s="8"/>
      <c r="F799" s="8"/>
    </row>
    <row r="800" spans="1:6">
      <c r="A800" s="6"/>
      <c r="B800" s="7"/>
      <c r="C800" s="8"/>
      <c r="D800" s="8"/>
      <c r="E800" s="8"/>
      <c r="F800" s="8"/>
    </row>
    <row r="801" spans="1:6">
      <c r="A801" s="6"/>
      <c r="B801" s="7"/>
      <c r="C801" s="8"/>
      <c r="D801" s="8"/>
      <c r="E801" s="8"/>
      <c r="F801" s="8"/>
    </row>
    <row r="802" spans="1:6">
      <c r="A802" s="6"/>
      <c r="B802" s="7"/>
      <c r="C802" s="8"/>
      <c r="D802" s="8"/>
      <c r="E802" s="8"/>
      <c r="F802" s="8"/>
    </row>
    <row r="803" spans="1:6">
      <c r="A803" s="6"/>
      <c r="B803" s="7"/>
      <c r="C803" s="8"/>
      <c r="D803" s="8"/>
      <c r="E803" s="8"/>
      <c r="F803" s="8"/>
    </row>
    <row r="804" spans="1:6">
      <c r="A804" s="6"/>
      <c r="B804" s="7"/>
      <c r="C804" s="8"/>
      <c r="D804" s="8"/>
      <c r="E804" s="8"/>
      <c r="F804" s="8"/>
    </row>
    <row r="805" spans="1:6">
      <c r="A805" s="6"/>
      <c r="B805" s="7"/>
      <c r="C805" s="8"/>
      <c r="D805" s="8"/>
      <c r="E805" s="8"/>
      <c r="F805" s="8"/>
    </row>
    <row r="806" spans="1:6">
      <c r="A806" s="6"/>
      <c r="B806" s="7"/>
      <c r="C806" s="8"/>
      <c r="D806" s="8"/>
      <c r="E806" s="8"/>
      <c r="F806" s="8"/>
    </row>
    <row r="807" spans="1:6">
      <c r="A807" s="6"/>
      <c r="B807" s="7"/>
      <c r="C807" s="8"/>
      <c r="D807" s="8"/>
      <c r="E807" s="8"/>
      <c r="F807" s="8"/>
    </row>
    <row r="808" spans="1:6">
      <c r="A808" s="6"/>
      <c r="B808" s="7"/>
      <c r="C808" s="8"/>
      <c r="D808" s="8"/>
      <c r="E808" s="8"/>
      <c r="F808" s="8"/>
    </row>
    <row r="809" spans="1:6">
      <c r="A809" s="6"/>
      <c r="B809" s="7"/>
      <c r="C809" s="8"/>
      <c r="D809" s="8"/>
      <c r="E809" s="8"/>
      <c r="F809" s="8"/>
    </row>
    <row r="810" spans="1:6">
      <c r="A810" s="6"/>
      <c r="B810" s="7"/>
      <c r="C810" s="8"/>
      <c r="D810" s="8"/>
      <c r="E810" s="8"/>
      <c r="F810" s="8"/>
    </row>
    <row r="811" spans="1:6">
      <c r="A811" s="6"/>
      <c r="B811" s="7"/>
      <c r="C811" s="8"/>
      <c r="D811" s="8"/>
      <c r="E811" s="8"/>
      <c r="F811" s="8"/>
    </row>
    <row r="812" spans="1:6">
      <c r="A812" s="6"/>
      <c r="B812" s="7"/>
      <c r="C812" s="8"/>
      <c r="D812" s="8"/>
      <c r="E812" s="8"/>
      <c r="F812" s="8"/>
    </row>
    <row r="813" spans="1:6">
      <c r="A813" s="6"/>
      <c r="B813" s="7"/>
      <c r="C813" s="8"/>
      <c r="D813" s="8"/>
      <c r="E813" s="8"/>
      <c r="F813" s="8"/>
    </row>
    <row r="814" spans="1:6">
      <c r="A814" s="6"/>
      <c r="B814" s="7"/>
      <c r="C814" s="8"/>
      <c r="D814" s="8"/>
      <c r="E814" s="8"/>
      <c r="F814" s="8"/>
    </row>
    <row r="815" spans="1:6">
      <c r="A815" s="6"/>
      <c r="B815" s="7"/>
      <c r="C815" s="8"/>
      <c r="D815" s="8"/>
      <c r="E815" s="8"/>
      <c r="F815" s="8"/>
    </row>
    <row r="816" spans="1:6">
      <c r="A816" s="6"/>
      <c r="B816" s="7"/>
      <c r="C816" s="8"/>
      <c r="D816" s="8"/>
      <c r="E816" s="8"/>
      <c r="F816" s="8"/>
    </row>
    <row r="817" spans="1:6">
      <c r="A817" s="6"/>
      <c r="B817" s="7"/>
      <c r="C817" s="8"/>
      <c r="D817" s="8"/>
      <c r="E817" s="8"/>
      <c r="F817" s="8"/>
    </row>
    <row r="818" spans="1:6">
      <c r="A818" s="6"/>
      <c r="B818" s="7"/>
      <c r="C818" s="8"/>
      <c r="D818" s="8"/>
      <c r="E818" s="8"/>
      <c r="F818" s="8"/>
    </row>
    <row r="819" spans="1:6">
      <c r="A819" s="6"/>
      <c r="B819" s="7"/>
      <c r="C819" s="8"/>
      <c r="D819" s="8"/>
      <c r="E819" s="8"/>
      <c r="F819" s="8"/>
    </row>
    <row r="820" spans="1:6">
      <c r="A820" s="6"/>
      <c r="B820" s="7"/>
      <c r="C820" s="8"/>
      <c r="D820" s="8"/>
      <c r="E820" s="8"/>
      <c r="F820" s="8"/>
    </row>
    <row r="821" spans="1:6">
      <c r="A821" s="6"/>
      <c r="B821" s="7"/>
      <c r="C821" s="8"/>
      <c r="D821" s="8"/>
      <c r="E821" s="8"/>
      <c r="F821" s="8"/>
    </row>
    <row r="822" spans="1:6">
      <c r="A822" s="6"/>
      <c r="B822" s="7"/>
      <c r="C822" s="8"/>
      <c r="D822" s="8"/>
      <c r="E822" s="8"/>
      <c r="F822" s="8"/>
    </row>
    <row r="823" spans="1:6">
      <c r="A823" s="6"/>
      <c r="B823" s="7"/>
      <c r="C823" s="8"/>
      <c r="D823" s="8"/>
      <c r="E823" s="8"/>
      <c r="F823" s="8"/>
    </row>
    <row r="824" spans="1:6">
      <c r="A824" s="6"/>
      <c r="B824" s="7"/>
      <c r="C824" s="8"/>
      <c r="D824" s="8"/>
      <c r="E824" s="8"/>
      <c r="F824" s="8"/>
    </row>
    <row r="825" spans="1:6">
      <c r="A825" s="6"/>
      <c r="B825" s="7"/>
      <c r="C825" s="8"/>
      <c r="D825" s="8"/>
      <c r="E825" s="8"/>
      <c r="F825" s="8"/>
    </row>
    <row r="826" spans="1:6">
      <c r="A826" s="6"/>
      <c r="B826" s="7"/>
      <c r="C826" s="8"/>
      <c r="D826" s="8"/>
      <c r="E826" s="8"/>
      <c r="F826" s="8"/>
    </row>
    <row r="827" spans="1:6">
      <c r="A827" s="6"/>
      <c r="B827" s="7"/>
      <c r="C827" s="8"/>
      <c r="D827" s="8"/>
      <c r="E827" s="8"/>
      <c r="F827" s="8"/>
    </row>
    <row r="828" spans="1:6">
      <c r="A828" s="6"/>
      <c r="B828" s="7"/>
      <c r="C828" s="8"/>
      <c r="D828" s="8"/>
      <c r="E828" s="8"/>
      <c r="F828" s="8"/>
    </row>
    <row r="829" spans="1:6">
      <c r="A829" s="6"/>
      <c r="B829" s="7"/>
      <c r="C829" s="8"/>
      <c r="D829" s="8"/>
      <c r="E829" s="8"/>
      <c r="F829" s="8"/>
    </row>
    <row r="830" spans="1:6">
      <c r="A830" s="6"/>
      <c r="B830" s="7"/>
      <c r="C830" s="8"/>
      <c r="D830" s="8"/>
      <c r="E830" s="8"/>
      <c r="F830" s="8"/>
    </row>
    <row r="831" spans="1:6">
      <c r="A831" s="6"/>
      <c r="B831" s="7"/>
      <c r="C831" s="8"/>
      <c r="D831" s="8"/>
      <c r="E831" s="8"/>
      <c r="F831" s="8"/>
    </row>
    <row r="832" spans="1:6">
      <c r="A832" s="6"/>
      <c r="B832" s="7"/>
      <c r="C832" s="8"/>
      <c r="D832" s="8"/>
      <c r="E832" s="8"/>
      <c r="F832" s="8"/>
    </row>
    <row r="833" spans="1:6">
      <c r="A833" s="6"/>
      <c r="B833" s="7"/>
      <c r="C833" s="8"/>
      <c r="D833" s="8"/>
      <c r="E833" s="8"/>
      <c r="F833" s="8"/>
    </row>
    <row r="834" spans="1:6">
      <c r="A834" s="6"/>
      <c r="B834" s="7"/>
      <c r="C834" s="8"/>
      <c r="D834" s="8"/>
      <c r="E834" s="8"/>
      <c r="F834" s="8"/>
    </row>
    <row r="835" spans="1:6">
      <c r="A835" s="6"/>
      <c r="B835" s="7"/>
      <c r="C835" s="8"/>
      <c r="D835" s="8"/>
      <c r="E835" s="8"/>
      <c r="F835" s="8"/>
    </row>
    <row r="836" spans="1:6">
      <c r="A836" s="6"/>
      <c r="B836" s="7"/>
      <c r="C836" s="8"/>
      <c r="D836" s="8"/>
      <c r="E836" s="8"/>
      <c r="F836" s="8"/>
    </row>
    <row r="837" spans="1:6">
      <c r="A837" s="6"/>
      <c r="B837" s="7"/>
      <c r="C837" s="8"/>
      <c r="D837" s="8"/>
      <c r="E837" s="8"/>
      <c r="F837" s="8"/>
    </row>
    <row r="838" spans="1:6">
      <c r="A838" s="6"/>
      <c r="B838" s="7"/>
      <c r="C838" s="8"/>
      <c r="D838" s="8"/>
      <c r="E838" s="8"/>
      <c r="F838" s="8"/>
    </row>
    <row r="839" spans="1:6">
      <c r="A839" s="6"/>
      <c r="B839" s="7"/>
      <c r="C839" s="8"/>
      <c r="D839" s="8"/>
      <c r="E839" s="8"/>
      <c r="F839" s="8"/>
    </row>
    <row r="840" spans="1:6">
      <c r="A840" s="6"/>
      <c r="B840" s="7"/>
      <c r="C840" s="8"/>
      <c r="D840" s="8"/>
      <c r="E840" s="8"/>
      <c r="F840" s="8"/>
    </row>
    <row r="841" spans="1:6">
      <c r="A841" s="6"/>
      <c r="B841" s="7"/>
      <c r="C841" s="8"/>
      <c r="D841" s="8"/>
      <c r="E841" s="8"/>
      <c r="F841" s="8"/>
    </row>
    <row r="842" spans="1:6">
      <c r="A842" s="6"/>
      <c r="B842" s="7"/>
      <c r="C842" s="8"/>
      <c r="D842" s="8"/>
      <c r="E842" s="8"/>
      <c r="F842" s="8"/>
    </row>
    <row r="843" spans="1:6">
      <c r="A843" s="6"/>
      <c r="B843" s="7"/>
      <c r="C843" s="8"/>
      <c r="D843" s="8"/>
      <c r="E843" s="8"/>
      <c r="F843" s="8"/>
    </row>
    <row r="844" spans="1:6">
      <c r="A844" s="6"/>
      <c r="B844" s="7"/>
      <c r="C844" s="8"/>
      <c r="D844" s="8"/>
      <c r="E844" s="8"/>
      <c r="F844" s="8"/>
    </row>
    <row r="845" spans="1:6">
      <c r="A845" s="6"/>
      <c r="B845" s="7"/>
      <c r="C845" s="8"/>
      <c r="D845" s="8"/>
      <c r="E845" s="8"/>
      <c r="F845" s="8"/>
    </row>
    <row r="846" spans="1:6">
      <c r="A846" s="6"/>
      <c r="B846" s="7"/>
      <c r="C846" s="8"/>
      <c r="D846" s="8"/>
      <c r="E846" s="8"/>
      <c r="F846" s="8"/>
    </row>
    <row r="847" spans="1:6">
      <c r="A847" s="6"/>
      <c r="B847" s="7"/>
      <c r="C847" s="8"/>
      <c r="D847" s="8"/>
      <c r="E847" s="8"/>
      <c r="F847" s="8"/>
    </row>
    <row r="848" spans="1:6">
      <c r="A848" s="6"/>
      <c r="B848" s="7"/>
      <c r="C848" s="8"/>
      <c r="D848" s="8"/>
      <c r="E848" s="8"/>
      <c r="F848" s="8"/>
    </row>
    <row r="849" spans="1:6">
      <c r="A849" s="6"/>
      <c r="B849" s="7"/>
      <c r="C849" s="8"/>
      <c r="D849" s="8"/>
      <c r="E849" s="8"/>
      <c r="F849" s="8"/>
    </row>
    <row r="850" spans="1:6">
      <c r="A850" s="6"/>
      <c r="B850" s="7"/>
      <c r="C850" s="8"/>
      <c r="D850" s="8"/>
      <c r="E850" s="8"/>
      <c r="F850" s="8"/>
    </row>
    <row r="851" spans="1:6">
      <c r="A851" s="6"/>
      <c r="B851" s="7"/>
      <c r="C851" s="8"/>
      <c r="D851" s="8"/>
      <c r="E851" s="8"/>
      <c r="F851" s="8"/>
    </row>
    <row r="852" spans="1:6">
      <c r="A852" s="6"/>
      <c r="B852" s="7"/>
      <c r="C852" s="8"/>
      <c r="D852" s="8"/>
      <c r="E852" s="8"/>
      <c r="F852" s="8"/>
    </row>
    <row r="853" spans="1:6">
      <c r="A853" s="6"/>
      <c r="B853" s="7"/>
      <c r="C853" s="8"/>
      <c r="D853" s="8"/>
      <c r="E853" s="8"/>
      <c r="F853" s="8"/>
    </row>
    <row r="854" spans="1:6">
      <c r="A854" s="6"/>
      <c r="B854" s="7"/>
      <c r="C854" s="8"/>
      <c r="D854" s="8"/>
      <c r="E854" s="8"/>
      <c r="F854" s="8"/>
    </row>
    <row r="855" spans="1:6">
      <c r="A855" s="6"/>
      <c r="B855" s="7"/>
      <c r="C855" s="8"/>
      <c r="D855" s="8"/>
      <c r="E855" s="8"/>
      <c r="F855" s="8"/>
    </row>
    <row r="856" spans="1:6">
      <c r="A856" s="6"/>
      <c r="B856" s="7"/>
      <c r="C856" s="8"/>
      <c r="D856" s="8"/>
      <c r="E856" s="8"/>
      <c r="F856" s="8"/>
    </row>
    <row r="857" spans="1:6">
      <c r="A857" s="6"/>
      <c r="B857" s="7"/>
      <c r="C857" s="8"/>
      <c r="D857" s="8"/>
      <c r="E857" s="8"/>
      <c r="F857" s="8"/>
    </row>
    <row r="858" spans="1:6">
      <c r="A858" s="6"/>
      <c r="B858" s="7"/>
      <c r="C858" s="8"/>
      <c r="D858" s="8"/>
      <c r="E858" s="8"/>
      <c r="F858" s="8"/>
    </row>
    <row r="859" spans="1:6">
      <c r="A859" s="6"/>
      <c r="B859" s="7"/>
      <c r="C859" s="8"/>
      <c r="D859" s="8"/>
      <c r="E859" s="8"/>
      <c r="F859" s="8"/>
    </row>
    <row r="860" spans="1:6">
      <c r="A860" s="6"/>
      <c r="B860" s="7"/>
      <c r="C860" s="8"/>
      <c r="D860" s="8"/>
      <c r="E860" s="8"/>
      <c r="F860" s="8"/>
    </row>
    <row r="861" spans="1:6">
      <c r="A861" s="6"/>
      <c r="B861" s="7"/>
      <c r="C861" s="8"/>
      <c r="D861" s="8"/>
      <c r="E861" s="8"/>
      <c r="F861" s="8"/>
    </row>
    <row r="862" spans="1:6">
      <c r="A862" s="6"/>
      <c r="B862" s="7"/>
      <c r="C862" s="8"/>
      <c r="D862" s="8"/>
      <c r="E862" s="8"/>
      <c r="F862" s="8"/>
    </row>
    <row r="863" spans="1:6">
      <c r="A863" s="6"/>
      <c r="B863" s="7"/>
      <c r="C863" s="8"/>
      <c r="D863" s="8"/>
      <c r="E863" s="8"/>
      <c r="F863" s="8"/>
    </row>
    <row r="864" spans="1:6">
      <c r="A864" s="6"/>
      <c r="B864" s="7"/>
      <c r="C864" s="8"/>
      <c r="D864" s="8"/>
      <c r="E864" s="8"/>
      <c r="F864" s="8"/>
    </row>
    <row r="865" spans="1:6">
      <c r="A865" s="6"/>
      <c r="B865" s="7"/>
      <c r="C865" s="8"/>
      <c r="D865" s="8"/>
      <c r="E865" s="8"/>
      <c r="F865" s="8"/>
    </row>
    <row r="866" spans="1:6">
      <c r="A866" s="6"/>
      <c r="B866" s="7"/>
      <c r="C866" s="8"/>
      <c r="D866" s="8"/>
      <c r="E866" s="8"/>
      <c r="F866" s="8"/>
    </row>
    <row r="867" spans="1:6">
      <c r="A867" s="6"/>
      <c r="B867" s="7"/>
      <c r="C867" s="8"/>
      <c r="D867" s="8"/>
      <c r="E867" s="8"/>
      <c r="F867" s="8"/>
    </row>
    <row r="868" spans="1:6">
      <c r="A868" s="6"/>
      <c r="B868" s="7"/>
      <c r="C868" s="8"/>
      <c r="D868" s="8"/>
      <c r="E868" s="8"/>
      <c r="F868" s="8"/>
    </row>
    <row r="869" spans="1:6">
      <c r="A869" s="6"/>
      <c r="B869" s="7"/>
      <c r="C869" s="8"/>
      <c r="D869" s="8"/>
      <c r="E869" s="8"/>
      <c r="F869" s="8"/>
    </row>
    <row r="870" spans="1:6">
      <c r="A870" s="6"/>
      <c r="B870" s="7"/>
      <c r="C870" s="8"/>
      <c r="D870" s="8"/>
      <c r="E870" s="8"/>
      <c r="F870" s="8"/>
    </row>
    <row r="871" spans="1:6">
      <c r="A871" s="6"/>
      <c r="B871" s="7"/>
      <c r="C871" s="8"/>
      <c r="D871" s="8"/>
      <c r="E871" s="8"/>
      <c r="F871" s="8"/>
    </row>
    <row r="872" spans="1:6">
      <c r="A872" s="6"/>
      <c r="B872" s="7"/>
      <c r="C872" s="8"/>
      <c r="D872" s="8"/>
      <c r="E872" s="8"/>
      <c r="F872" s="8"/>
    </row>
    <row r="873" spans="1:6">
      <c r="A873" s="6"/>
      <c r="B873" s="7"/>
      <c r="C873" s="8"/>
      <c r="D873" s="8"/>
      <c r="E873" s="8"/>
      <c r="F873" s="8"/>
    </row>
    <row r="874" spans="1:6">
      <c r="A874" s="6"/>
      <c r="B874" s="7"/>
      <c r="C874" s="8"/>
      <c r="D874" s="8"/>
      <c r="E874" s="8"/>
      <c r="F874" s="8"/>
    </row>
    <row r="875" spans="1:6">
      <c r="A875" s="6"/>
      <c r="B875" s="7"/>
      <c r="C875" s="8"/>
      <c r="D875" s="8"/>
      <c r="E875" s="8"/>
      <c r="F875" s="8"/>
    </row>
    <row r="876" spans="1:6">
      <c r="A876" s="6"/>
      <c r="B876" s="7"/>
      <c r="C876" s="8"/>
      <c r="D876" s="8"/>
      <c r="E876" s="8"/>
      <c r="F876" s="8"/>
    </row>
    <row r="877" spans="1:6">
      <c r="A877" s="6"/>
      <c r="B877" s="7"/>
      <c r="C877" s="8"/>
      <c r="D877" s="8"/>
      <c r="E877" s="8"/>
      <c r="F877" s="8"/>
    </row>
    <row r="878" spans="1:6">
      <c r="A878" s="6"/>
      <c r="B878" s="7"/>
      <c r="C878" s="8"/>
      <c r="D878" s="8"/>
      <c r="E878" s="8"/>
      <c r="F878" s="8"/>
    </row>
    <row r="879" spans="1:6">
      <c r="A879" s="6"/>
      <c r="B879" s="7"/>
      <c r="C879" s="8"/>
      <c r="D879" s="8"/>
      <c r="E879" s="8"/>
      <c r="F879" s="8"/>
    </row>
    <row r="880" spans="1:6">
      <c r="A880" s="6"/>
      <c r="B880" s="7"/>
      <c r="C880" s="8"/>
      <c r="D880" s="8"/>
      <c r="E880" s="8"/>
      <c r="F880" s="8"/>
    </row>
    <row r="881" spans="1:6">
      <c r="A881" s="6"/>
      <c r="B881" s="7"/>
      <c r="C881" s="8"/>
      <c r="D881" s="8"/>
      <c r="E881" s="8"/>
      <c r="F881" s="8"/>
    </row>
    <row r="882" spans="1:6">
      <c r="A882" s="6"/>
      <c r="B882" s="7"/>
      <c r="C882" s="8"/>
      <c r="D882" s="8"/>
      <c r="E882" s="8"/>
      <c r="F882" s="8"/>
    </row>
    <row r="883" spans="1:6">
      <c r="A883" s="6"/>
      <c r="B883" s="7"/>
      <c r="C883" s="8"/>
      <c r="D883" s="8"/>
      <c r="E883" s="8"/>
      <c r="F883" s="8"/>
    </row>
    <row r="884" spans="1:6">
      <c r="A884" s="6"/>
      <c r="B884" s="7"/>
      <c r="C884" s="8"/>
      <c r="D884" s="8"/>
      <c r="E884" s="8"/>
      <c r="F884" s="8"/>
    </row>
    <row r="885" spans="1:6">
      <c r="A885" s="6"/>
      <c r="B885" s="7"/>
      <c r="C885" s="8"/>
      <c r="D885" s="8"/>
      <c r="E885" s="8"/>
      <c r="F885" s="8"/>
    </row>
    <row r="886" spans="1:6">
      <c r="A886" s="6"/>
      <c r="B886" s="7"/>
      <c r="C886" s="8"/>
      <c r="D886" s="8"/>
      <c r="E886" s="8"/>
      <c r="F886" s="8"/>
    </row>
    <row r="887" spans="1:6">
      <c r="A887" s="6"/>
      <c r="B887" s="7"/>
      <c r="C887" s="8"/>
      <c r="D887" s="8"/>
      <c r="E887" s="8"/>
      <c r="F887" s="8"/>
    </row>
    <row r="888" spans="1:6">
      <c r="A888" s="6"/>
      <c r="B888" s="7"/>
      <c r="C888" s="8"/>
      <c r="D888" s="8"/>
      <c r="E888" s="8"/>
      <c r="F888" s="8"/>
    </row>
    <row r="889" spans="1:6">
      <c r="A889" s="6"/>
      <c r="B889" s="7"/>
      <c r="C889" s="8"/>
      <c r="D889" s="8"/>
      <c r="E889" s="8"/>
      <c r="F889" s="8"/>
    </row>
    <row r="890" spans="1:6">
      <c r="A890" s="6"/>
      <c r="B890" s="7"/>
      <c r="C890" s="8"/>
      <c r="D890" s="8"/>
      <c r="E890" s="8"/>
      <c r="F890" s="8"/>
    </row>
    <row r="891" spans="1:6">
      <c r="A891" s="6"/>
      <c r="B891" s="7"/>
      <c r="C891" s="8"/>
      <c r="D891" s="8"/>
      <c r="E891" s="8"/>
      <c r="F891" s="8"/>
    </row>
    <row r="892" spans="1:6">
      <c r="A892" s="6"/>
      <c r="B892" s="7"/>
      <c r="C892" s="8"/>
      <c r="D892" s="8"/>
      <c r="E892" s="8"/>
      <c r="F892" s="8"/>
    </row>
    <row r="893" spans="1:6">
      <c r="A893" s="6"/>
      <c r="B893" s="7"/>
      <c r="C893" s="8"/>
      <c r="D893" s="8"/>
      <c r="E893" s="8"/>
      <c r="F893" s="8"/>
    </row>
    <row r="894" spans="1:6">
      <c r="A894" s="6"/>
      <c r="B894" s="7"/>
      <c r="C894" s="8"/>
      <c r="D894" s="8"/>
      <c r="E894" s="8"/>
      <c r="F894" s="8"/>
    </row>
    <row r="895" spans="1:6">
      <c r="A895" s="6"/>
      <c r="B895" s="7"/>
      <c r="C895" s="8"/>
      <c r="D895" s="8"/>
      <c r="E895" s="8"/>
      <c r="F895" s="8"/>
    </row>
    <row r="896" spans="1:6">
      <c r="A896" s="6"/>
      <c r="B896" s="7"/>
      <c r="C896" s="8"/>
      <c r="D896" s="8"/>
      <c r="E896" s="8"/>
      <c r="F896" s="8"/>
    </row>
    <row r="897" spans="1:6">
      <c r="A897" s="6"/>
      <c r="B897" s="7"/>
      <c r="C897" s="8"/>
      <c r="D897" s="8"/>
      <c r="E897" s="8"/>
      <c r="F897" s="8"/>
    </row>
    <row r="898" spans="1:6">
      <c r="A898" s="6"/>
      <c r="B898" s="7"/>
      <c r="C898" s="8"/>
      <c r="D898" s="8"/>
      <c r="E898" s="8"/>
      <c r="F898" s="8"/>
    </row>
    <row r="899" spans="1:6">
      <c r="A899" s="6"/>
      <c r="B899" s="7"/>
      <c r="C899" s="8"/>
      <c r="D899" s="8"/>
      <c r="E899" s="8"/>
      <c r="F899" s="8"/>
    </row>
    <row r="900" spans="1:6">
      <c r="A900" s="6"/>
      <c r="B900" s="7"/>
      <c r="C900" s="8"/>
      <c r="D900" s="8"/>
      <c r="E900" s="8"/>
      <c r="F900" s="8"/>
    </row>
    <row r="901" spans="1:6">
      <c r="A901" s="6"/>
      <c r="B901" s="7"/>
      <c r="C901" s="8"/>
      <c r="D901" s="8"/>
      <c r="E901" s="8"/>
      <c r="F901" s="8"/>
    </row>
    <row r="902" spans="1:6">
      <c r="A902" s="6"/>
      <c r="B902" s="7"/>
      <c r="C902" s="8"/>
      <c r="D902" s="8"/>
      <c r="E902" s="8"/>
      <c r="F902" s="8"/>
    </row>
    <row r="903" spans="1:6">
      <c r="A903" s="6"/>
      <c r="B903" s="7"/>
      <c r="C903" s="8"/>
      <c r="D903" s="8"/>
      <c r="E903" s="8"/>
      <c r="F903" s="8"/>
    </row>
    <row r="904" spans="1:6">
      <c r="A904" s="6"/>
      <c r="B904" s="7"/>
      <c r="C904" s="8"/>
      <c r="D904" s="8"/>
      <c r="E904" s="8"/>
      <c r="F904" s="8"/>
    </row>
    <row r="905" spans="1:6">
      <c r="A905" s="6"/>
      <c r="B905" s="7"/>
      <c r="C905" s="8"/>
      <c r="D905" s="8"/>
      <c r="E905" s="8"/>
      <c r="F905" s="8"/>
    </row>
    <row r="906" spans="1:6">
      <c r="A906" s="6"/>
      <c r="B906" s="7"/>
      <c r="C906" s="8"/>
      <c r="D906" s="8"/>
      <c r="E906" s="8"/>
      <c r="F906" s="8"/>
    </row>
    <row r="907" spans="1:6">
      <c r="A907" s="6"/>
      <c r="B907" s="7"/>
      <c r="C907" s="8"/>
      <c r="D907" s="8"/>
      <c r="E907" s="8"/>
      <c r="F907" s="8"/>
    </row>
    <row r="908" spans="1:6">
      <c r="A908" s="6"/>
      <c r="B908" s="7"/>
      <c r="C908" s="8"/>
      <c r="D908" s="8"/>
      <c r="E908" s="8"/>
      <c r="F908" s="8"/>
    </row>
    <row r="909" spans="1:6">
      <c r="A909" s="6"/>
      <c r="B909" s="7"/>
      <c r="C909" s="8"/>
      <c r="D909" s="8"/>
      <c r="E909" s="8"/>
      <c r="F909" s="8"/>
    </row>
    <row r="910" spans="1:6">
      <c r="A910" s="6"/>
      <c r="B910" s="7"/>
      <c r="C910" s="8"/>
      <c r="D910" s="8"/>
      <c r="E910" s="8"/>
      <c r="F910" s="8"/>
    </row>
    <row r="911" spans="1:6">
      <c r="A911" s="6"/>
      <c r="B911" s="7"/>
      <c r="C911" s="8"/>
      <c r="D911" s="8"/>
      <c r="E911" s="8"/>
      <c r="F911" s="8"/>
    </row>
    <row r="912" spans="1:6">
      <c r="A912" s="6"/>
      <c r="B912" s="7"/>
      <c r="C912" s="8"/>
      <c r="D912" s="8"/>
      <c r="E912" s="8"/>
      <c r="F912" s="8"/>
    </row>
    <row r="913" spans="1:6">
      <c r="A913" s="6"/>
      <c r="B913" s="7"/>
      <c r="C913" s="8"/>
      <c r="D913" s="8"/>
      <c r="E913" s="8"/>
      <c r="F913" s="8"/>
    </row>
    <row r="914" spans="1:6">
      <c r="A914" s="6"/>
      <c r="B914" s="7"/>
      <c r="C914" s="8"/>
      <c r="D914" s="8"/>
      <c r="E914" s="8"/>
      <c r="F914" s="8"/>
    </row>
    <row r="915" spans="1:6">
      <c r="A915" s="6"/>
      <c r="B915" s="7"/>
      <c r="C915" s="8"/>
      <c r="D915" s="8"/>
      <c r="E915" s="8"/>
      <c r="F915" s="8"/>
    </row>
    <row r="916" spans="1:6">
      <c r="A916" s="6"/>
      <c r="B916" s="7"/>
      <c r="C916" s="8"/>
      <c r="D916" s="8"/>
      <c r="E916" s="8"/>
      <c r="F916" s="8"/>
    </row>
    <row r="917" spans="1:6">
      <c r="A917" s="6"/>
      <c r="B917" s="7"/>
      <c r="C917" s="8"/>
      <c r="D917" s="8"/>
      <c r="E917" s="8"/>
      <c r="F917" s="8"/>
    </row>
    <row r="918" spans="1:6">
      <c r="A918" s="6"/>
      <c r="B918" s="7"/>
      <c r="C918" s="8"/>
      <c r="D918" s="8"/>
      <c r="E918" s="8"/>
      <c r="F918" s="8"/>
    </row>
    <row r="919" spans="1:6">
      <c r="A919" s="6"/>
      <c r="B919" s="7"/>
      <c r="C919" s="8"/>
      <c r="D919" s="8"/>
      <c r="E919" s="8"/>
      <c r="F919" s="8"/>
    </row>
    <row r="920" spans="1:6">
      <c r="A920" s="6"/>
      <c r="B920" s="7"/>
      <c r="C920" s="8"/>
      <c r="D920" s="8"/>
      <c r="E920" s="8"/>
      <c r="F920" s="8"/>
    </row>
    <row r="921" spans="1:6">
      <c r="A921" s="6"/>
      <c r="B921" s="7"/>
      <c r="C921" s="8"/>
      <c r="D921" s="8"/>
      <c r="E921" s="8"/>
      <c r="F921" s="8"/>
    </row>
    <row r="922" spans="1:6">
      <c r="A922" s="6"/>
      <c r="B922" s="7"/>
      <c r="C922" s="8"/>
      <c r="D922" s="8"/>
      <c r="E922" s="8"/>
      <c r="F922" s="8"/>
    </row>
    <row r="923" spans="1:6">
      <c r="A923" s="6"/>
      <c r="B923" s="7"/>
      <c r="C923" s="8"/>
      <c r="D923" s="8"/>
      <c r="E923" s="8"/>
      <c r="F923" s="8"/>
    </row>
    <row r="924" spans="1:6">
      <c r="A924" s="6"/>
      <c r="B924" s="7"/>
      <c r="C924" s="8"/>
      <c r="D924" s="8"/>
      <c r="E924" s="8"/>
      <c r="F924" s="8"/>
    </row>
    <row r="925" spans="1:6">
      <c r="A925" s="6"/>
      <c r="B925" s="7"/>
      <c r="C925" s="8"/>
      <c r="D925" s="8"/>
      <c r="E925" s="8"/>
      <c r="F925" s="8"/>
    </row>
    <row r="926" spans="1:6">
      <c r="A926" s="6"/>
      <c r="B926" s="7"/>
      <c r="C926" s="8"/>
      <c r="D926" s="8"/>
      <c r="E926" s="8"/>
      <c r="F926" s="8"/>
    </row>
    <row r="927" spans="1:6">
      <c r="A927" s="6"/>
      <c r="B927" s="7"/>
      <c r="C927" s="8"/>
      <c r="D927" s="8"/>
      <c r="E927" s="8"/>
      <c r="F927" s="8"/>
    </row>
    <row r="928" spans="1:6">
      <c r="A928" s="6"/>
      <c r="B928" s="7"/>
      <c r="C928" s="8"/>
      <c r="D928" s="8"/>
      <c r="E928" s="8"/>
      <c r="F928" s="8"/>
    </row>
    <row r="929" spans="1:6">
      <c r="A929" s="6"/>
      <c r="B929" s="7"/>
      <c r="C929" s="8"/>
      <c r="D929" s="8"/>
      <c r="E929" s="8"/>
      <c r="F929" s="8"/>
    </row>
    <row r="930" spans="1:6">
      <c r="A930" s="6"/>
      <c r="B930" s="7"/>
      <c r="C930" s="8"/>
      <c r="D930" s="8"/>
      <c r="E930" s="8"/>
      <c r="F930" s="8"/>
    </row>
    <row r="931" spans="1:6">
      <c r="A931" s="6"/>
      <c r="B931" s="7"/>
      <c r="C931" s="8"/>
      <c r="D931" s="8"/>
      <c r="E931" s="8"/>
      <c r="F931" s="8"/>
    </row>
    <row r="932" spans="1:6">
      <c r="A932" s="6"/>
      <c r="B932" s="7"/>
      <c r="C932" s="8"/>
      <c r="D932" s="8"/>
      <c r="E932" s="8"/>
      <c r="F932" s="8"/>
    </row>
    <row r="933" spans="1:6">
      <c r="A933" s="6"/>
      <c r="B933" s="7"/>
      <c r="C933" s="8"/>
      <c r="D933" s="8"/>
      <c r="E933" s="8"/>
      <c r="F933" s="8"/>
    </row>
    <row r="934" spans="1:6">
      <c r="A934" s="6"/>
      <c r="B934" s="7"/>
      <c r="C934" s="8"/>
      <c r="D934" s="8"/>
      <c r="E934" s="8"/>
      <c r="F934" s="8"/>
    </row>
    <row r="935" spans="1:6">
      <c r="A935" s="6"/>
      <c r="B935" s="7"/>
      <c r="C935" s="8"/>
      <c r="D935" s="8"/>
      <c r="E935" s="8"/>
      <c r="F935" s="8"/>
    </row>
    <row r="936" spans="1:6">
      <c r="A936" s="6"/>
      <c r="B936" s="7"/>
      <c r="C936" s="8"/>
      <c r="D936" s="8"/>
      <c r="E936" s="8"/>
      <c r="F936" s="8"/>
    </row>
    <row r="937" spans="1:6">
      <c r="A937" s="6"/>
      <c r="B937" s="7"/>
      <c r="C937" s="8"/>
      <c r="D937" s="8"/>
      <c r="E937" s="8"/>
      <c r="F937" s="8"/>
    </row>
    <row r="938" spans="1:6">
      <c r="A938" s="6"/>
      <c r="B938" s="7"/>
      <c r="C938" s="8"/>
      <c r="D938" s="8"/>
      <c r="E938" s="8"/>
      <c r="F938" s="8"/>
    </row>
    <row r="939" spans="1:6">
      <c r="A939" s="6"/>
      <c r="B939" s="7"/>
      <c r="C939" s="8"/>
      <c r="D939" s="8"/>
      <c r="E939" s="8"/>
      <c r="F939" s="8"/>
    </row>
    <row r="940" spans="1:6">
      <c r="A940" s="6"/>
      <c r="B940" s="7"/>
      <c r="C940" s="8"/>
      <c r="D940" s="8"/>
      <c r="E940" s="8"/>
      <c r="F940" s="8"/>
    </row>
    <row r="941" spans="1:6">
      <c r="A941" s="6"/>
      <c r="B941" s="7"/>
      <c r="C941" s="8"/>
      <c r="D941" s="8"/>
      <c r="E941" s="8"/>
      <c r="F941" s="8"/>
    </row>
    <row r="942" spans="1:6">
      <c r="A942" s="6"/>
      <c r="B942" s="7"/>
      <c r="C942" s="8"/>
      <c r="D942" s="8"/>
      <c r="E942" s="8"/>
      <c r="F942" s="8"/>
    </row>
    <row r="943" spans="1:6">
      <c r="A943" s="6"/>
      <c r="B943" s="7"/>
      <c r="C943" s="8"/>
      <c r="D943" s="8"/>
      <c r="E943" s="8"/>
      <c r="F943" s="8"/>
    </row>
    <row r="944" spans="1:6">
      <c r="A944" s="6"/>
      <c r="B944" s="7"/>
      <c r="C944" s="8"/>
      <c r="D944" s="8"/>
      <c r="E944" s="8"/>
      <c r="F944" s="8"/>
    </row>
    <row r="945" spans="1:6">
      <c r="A945" s="6"/>
      <c r="B945" s="7"/>
      <c r="C945" s="8"/>
      <c r="D945" s="8"/>
      <c r="E945" s="8"/>
      <c r="F945" s="8"/>
    </row>
    <row r="946" spans="1:6">
      <c r="A946" s="6"/>
      <c r="B946" s="7"/>
      <c r="C946" s="8"/>
      <c r="D946" s="8"/>
      <c r="E946" s="8"/>
      <c r="F946" s="8"/>
    </row>
    <row r="947" spans="1:6">
      <c r="A947" s="6"/>
      <c r="B947" s="7"/>
      <c r="C947" s="8"/>
      <c r="D947" s="8"/>
      <c r="E947" s="8"/>
      <c r="F947" s="8"/>
    </row>
    <row r="948" spans="1:6">
      <c r="A948" s="6"/>
      <c r="B948" s="7"/>
      <c r="C948" s="8"/>
      <c r="D948" s="8"/>
      <c r="E948" s="8"/>
      <c r="F948" s="8"/>
    </row>
    <row r="949" spans="1:6">
      <c r="A949" s="6"/>
      <c r="B949" s="7"/>
      <c r="C949" s="8"/>
      <c r="D949" s="8"/>
      <c r="E949" s="8"/>
      <c r="F949" s="8"/>
    </row>
    <row r="950" spans="1:6">
      <c r="A950" s="6"/>
      <c r="B950" s="7"/>
      <c r="C950" s="8"/>
      <c r="D950" s="8"/>
      <c r="E950" s="8"/>
      <c r="F950" s="8"/>
    </row>
    <row r="951" spans="1:6">
      <c r="A951" s="6"/>
      <c r="B951" s="7"/>
      <c r="C951" s="8"/>
      <c r="D951" s="8"/>
      <c r="E951" s="8"/>
      <c r="F951" s="8"/>
    </row>
    <row r="952" spans="1:6">
      <c r="A952" s="6"/>
      <c r="B952" s="7"/>
      <c r="C952" s="8"/>
      <c r="D952" s="8"/>
      <c r="E952" s="8"/>
      <c r="F952" s="8"/>
    </row>
    <row r="953" spans="1:6">
      <c r="A953" s="6"/>
      <c r="B953" s="7"/>
      <c r="C953" s="8"/>
      <c r="D953" s="8"/>
      <c r="E953" s="8"/>
      <c r="F953" s="8"/>
    </row>
    <row r="954" spans="1:6">
      <c r="A954" s="6"/>
      <c r="B954" s="7"/>
      <c r="C954" s="8"/>
      <c r="D954" s="8"/>
      <c r="E954" s="8"/>
      <c r="F954" s="8"/>
    </row>
    <row r="955" spans="1:6">
      <c r="A955" s="6"/>
      <c r="B955" s="7"/>
      <c r="C955" s="8"/>
      <c r="D955" s="8"/>
      <c r="E955" s="8"/>
      <c r="F955" s="8"/>
    </row>
    <row r="956" spans="1:6">
      <c r="A956" s="6"/>
      <c r="B956" s="7"/>
      <c r="C956" s="8"/>
      <c r="D956" s="8"/>
      <c r="E956" s="8"/>
      <c r="F956" s="8"/>
    </row>
    <row r="957" spans="1:6">
      <c r="A957" s="6"/>
      <c r="B957" s="7"/>
      <c r="C957" s="8"/>
      <c r="D957" s="8"/>
      <c r="E957" s="8"/>
      <c r="F957" s="8"/>
    </row>
    <row r="958" spans="1:6">
      <c r="A958" s="6"/>
      <c r="B958" s="7"/>
      <c r="C958" s="8"/>
      <c r="D958" s="8"/>
      <c r="E958" s="8"/>
      <c r="F958" s="8"/>
    </row>
    <row r="959" spans="1:6">
      <c r="A959" s="6"/>
      <c r="B959" s="7"/>
      <c r="C959" s="8"/>
      <c r="D959" s="8"/>
      <c r="E959" s="8"/>
      <c r="F959" s="8"/>
    </row>
    <row r="960" spans="1:6">
      <c r="A960" s="6"/>
      <c r="B960" s="7"/>
      <c r="C960" s="8"/>
      <c r="D960" s="8"/>
      <c r="E960" s="8"/>
      <c r="F960" s="8"/>
    </row>
    <row r="961" spans="1:6">
      <c r="A961" s="6"/>
      <c r="B961" s="7"/>
      <c r="C961" s="8"/>
      <c r="D961" s="8"/>
      <c r="E961" s="8"/>
      <c r="F961" s="8"/>
    </row>
    <row r="962" spans="1:6">
      <c r="A962" s="6"/>
      <c r="B962" s="7"/>
      <c r="C962" s="8"/>
      <c r="D962" s="8"/>
      <c r="E962" s="8"/>
      <c r="F962" s="8"/>
    </row>
    <row r="963" spans="1:6">
      <c r="A963" s="6"/>
      <c r="B963" s="7"/>
      <c r="C963" s="8"/>
      <c r="D963" s="8"/>
      <c r="E963" s="8"/>
      <c r="F963" s="8"/>
    </row>
    <row r="964" spans="1:6">
      <c r="A964" s="6"/>
      <c r="B964" s="7"/>
      <c r="C964" s="8"/>
      <c r="D964" s="8"/>
      <c r="E964" s="8"/>
      <c r="F964" s="8"/>
    </row>
    <row r="965" spans="1:6">
      <c r="A965" s="6"/>
      <c r="B965" s="7"/>
      <c r="C965" s="8"/>
      <c r="D965" s="8"/>
      <c r="E965" s="8"/>
      <c r="F965" s="8"/>
    </row>
    <row r="966" spans="1:6">
      <c r="A966" s="6"/>
      <c r="B966" s="7"/>
      <c r="C966" s="8"/>
      <c r="D966" s="8"/>
      <c r="E966" s="8"/>
      <c r="F966" s="8"/>
    </row>
    <row r="967" spans="1:6">
      <c r="A967" s="6"/>
      <c r="B967" s="7"/>
      <c r="C967" s="8"/>
      <c r="D967" s="8"/>
      <c r="E967" s="8"/>
      <c r="F967" s="8"/>
    </row>
    <row r="968" spans="1:6">
      <c r="A968" s="6"/>
      <c r="B968" s="7"/>
      <c r="C968" s="8"/>
      <c r="D968" s="8"/>
      <c r="E968" s="8"/>
      <c r="F968" s="8"/>
    </row>
    <row r="969" spans="1:6">
      <c r="A969" s="6"/>
      <c r="B969" s="7"/>
      <c r="C969" s="8"/>
      <c r="D969" s="8"/>
      <c r="E969" s="8"/>
      <c r="F969" s="8"/>
    </row>
    <row r="970" spans="1:6">
      <c r="A970" s="6"/>
      <c r="B970" s="7"/>
      <c r="C970" s="8"/>
      <c r="D970" s="8"/>
      <c r="E970" s="8"/>
      <c r="F970" s="8"/>
    </row>
    <row r="971" spans="1:6">
      <c r="A971" s="6"/>
      <c r="B971" s="7"/>
      <c r="C971" s="8"/>
      <c r="D971" s="8"/>
      <c r="E971" s="8"/>
      <c r="F971" s="8"/>
    </row>
    <row r="972" spans="1:6">
      <c r="A972" s="6"/>
      <c r="B972" s="7"/>
      <c r="C972" s="8"/>
      <c r="D972" s="8"/>
      <c r="E972" s="8"/>
      <c r="F972" s="8"/>
    </row>
    <row r="973" spans="1:6">
      <c r="A973" s="6"/>
      <c r="B973" s="7"/>
      <c r="C973" s="8"/>
      <c r="D973" s="8"/>
      <c r="E973" s="8"/>
      <c r="F973" s="8"/>
    </row>
    <row r="974" spans="1:6">
      <c r="A974" s="6"/>
      <c r="B974" s="7"/>
      <c r="C974" s="8"/>
      <c r="D974" s="8"/>
      <c r="E974" s="8"/>
      <c r="F974" s="8"/>
    </row>
    <row r="975" spans="1:6">
      <c r="A975" s="6"/>
      <c r="B975" s="7"/>
      <c r="C975" s="8"/>
      <c r="D975" s="8"/>
      <c r="E975" s="8"/>
      <c r="F975" s="8"/>
    </row>
    <row r="976" spans="1:6">
      <c r="A976" s="6"/>
      <c r="B976" s="7"/>
      <c r="C976" s="8"/>
      <c r="D976" s="8"/>
      <c r="E976" s="8"/>
      <c r="F976" s="8"/>
    </row>
    <row r="977" spans="1:6">
      <c r="A977" s="6"/>
      <c r="B977" s="7"/>
      <c r="C977" s="8"/>
      <c r="D977" s="8"/>
      <c r="E977" s="8"/>
      <c r="F977" s="8"/>
    </row>
    <row r="978" spans="1:6">
      <c r="A978" s="6"/>
      <c r="B978" s="7"/>
      <c r="C978" s="8"/>
      <c r="D978" s="8"/>
      <c r="E978" s="8"/>
      <c r="F978" s="8"/>
    </row>
    <row r="979" spans="1:6">
      <c r="A979" s="6"/>
      <c r="B979" s="7"/>
      <c r="C979" s="8"/>
      <c r="D979" s="8"/>
      <c r="E979" s="8"/>
      <c r="F979" s="8"/>
    </row>
    <row r="980" spans="1:6">
      <c r="A980" s="6"/>
      <c r="B980" s="7"/>
      <c r="C980" s="8"/>
      <c r="D980" s="8"/>
      <c r="E980" s="8"/>
      <c r="F980" s="8"/>
    </row>
    <row r="981" spans="1:6">
      <c r="A981" s="6"/>
      <c r="B981" s="7"/>
      <c r="C981" s="8"/>
      <c r="D981" s="8"/>
      <c r="E981" s="8"/>
      <c r="F981" s="8"/>
    </row>
    <row r="982" spans="1:6">
      <c r="A982" s="6"/>
      <c r="B982" s="7"/>
      <c r="C982" s="8"/>
      <c r="D982" s="8"/>
      <c r="E982" s="8"/>
      <c r="F982" s="8"/>
    </row>
    <row r="983" spans="1:6">
      <c r="A983" s="6"/>
      <c r="B983" s="7"/>
      <c r="C983" s="8"/>
      <c r="D983" s="8"/>
      <c r="E983" s="8"/>
      <c r="F983" s="8"/>
    </row>
    <row r="984" spans="1:6">
      <c r="A984" s="6"/>
      <c r="B984" s="7"/>
      <c r="C984" s="8"/>
      <c r="D984" s="8"/>
      <c r="E984" s="8"/>
      <c r="F984" s="8"/>
    </row>
    <row r="985" spans="1:6">
      <c r="A985" s="6"/>
      <c r="B985" s="7"/>
      <c r="C985" s="8"/>
      <c r="D985" s="8"/>
      <c r="E985" s="8"/>
      <c r="F985" s="8"/>
    </row>
    <row r="986" spans="1:6">
      <c r="A986" s="6"/>
      <c r="B986" s="7"/>
      <c r="C986" s="8"/>
      <c r="D986" s="8"/>
      <c r="E986" s="8"/>
      <c r="F986" s="8"/>
    </row>
    <row r="987" spans="1:6">
      <c r="A987" s="6"/>
      <c r="B987" s="7"/>
      <c r="C987" s="8"/>
      <c r="D987" s="8"/>
      <c r="E987" s="8"/>
      <c r="F987" s="8"/>
    </row>
    <row r="988" spans="1:6">
      <c r="A988" s="6"/>
      <c r="B988" s="7"/>
      <c r="C988" s="8"/>
      <c r="D988" s="8"/>
      <c r="E988" s="8"/>
      <c r="F988" s="8"/>
    </row>
    <row r="989" spans="1:6">
      <c r="A989" s="6"/>
      <c r="B989" s="7"/>
      <c r="C989" s="8"/>
      <c r="D989" s="8"/>
      <c r="E989" s="8"/>
      <c r="F989" s="8"/>
    </row>
    <row r="990" spans="1:6">
      <c r="A990" s="6"/>
      <c r="B990" s="7"/>
      <c r="C990" s="8"/>
      <c r="D990" s="8"/>
      <c r="E990" s="8"/>
      <c r="F990" s="8"/>
    </row>
    <row r="991" spans="1:6">
      <c r="A991" s="6"/>
      <c r="B991" s="7"/>
      <c r="C991" s="8"/>
      <c r="D991" s="8"/>
      <c r="E991" s="8"/>
      <c r="F991" s="8"/>
    </row>
    <row r="992" spans="1:6">
      <c r="A992" s="6"/>
      <c r="B992" s="7"/>
      <c r="C992" s="8"/>
      <c r="D992" s="8"/>
      <c r="E992" s="8"/>
      <c r="F992" s="8"/>
    </row>
    <row r="993" spans="1:6">
      <c r="A993" s="6"/>
      <c r="B993" s="7"/>
      <c r="C993" s="8"/>
      <c r="D993" s="8"/>
      <c r="E993" s="8"/>
      <c r="F993" s="8"/>
    </row>
    <row r="994" spans="1:6">
      <c r="A994" s="6"/>
      <c r="B994" s="7"/>
      <c r="C994" s="8"/>
      <c r="D994" s="8"/>
      <c r="E994" s="8"/>
      <c r="F994" s="8"/>
    </row>
    <row r="995" spans="1:6">
      <c r="A995" s="6"/>
      <c r="B995" s="7"/>
      <c r="C995" s="8"/>
      <c r="D995" s="8"/>
      <c r="E995" s="8"/>
      <c r="F995" s="8"/>
    </row>
    <row r="996" spans="1:6">
      <c r="A996" s="6"/>
      <c r="B996" s="7"/>
      <c r="C996" s="8"/>
      <c r="D996" s="8"/>
      <c r="E996" s="8"/>
      <c r="F996" s="8"/>
    </row>
    <row r="997" spans="1:6">
      <c r="A997" s="6"/>
      <c r="B997" s="7"/>
      <c r="C997" s="8"/>
      <c r="D997" s="8"/>
      <c r="E997" s="8"/>
      <c r="F997" s="8"/>
    </row>
    <row r="998" spans="1:6">
      <c r="A998" s="6"/>
      <c r="B998" s="7"/>
      <c r="C998" s="8"/>
      <c r="D998" s="8"/>
      <c r="E998" s="8"/>
      <c r="F998" s="8"/>
    </row>
    <row r="999" spans="1:6">
      <c r="A999" s="6"/>
      <c r="B999" s="7"/>
      <c r="C999" s="8"/>
      <c r="D999" s="8"/>
      <c r="E999" s="8"/>
      <c r="F999" s="8"/>
    </row>
    <row r="1000" spans="1:6">
      <c r="A1000" s="6"/>
      <c r="B1000" s="7"/>
      <c r="C1000" s="8"/>
      <c r="D1000" s="8"/>
      <c r="E1000" s="8"/>
      <c r="F1000" s="8"/>
    </row>
    <row r="1001" spans="1:6">
      <c r="A1001" s="6"/>
      <c r="B1001" s="7"/>
      <c r="C1001" s="8"/>
      <c r="D1001" s="8"/>
      <c r="E1001" s="8"/>
      <c r="F1001" s="8"/>
    </row>
    <row r="1002" spans="1:6">
      <c r="A1002" s="6"/>
      <c r="B1002" s="7"/>
      <c r="C1002" s="8"/>
      <c r="D1002" s="8"/>
      <c r="E1002" s="8"/>
      <c r="F1002" s="8"/>
    </row>
    <row r="1003" spans="1:6">
      <c r="A1003" s="6"/>
      <c r="B1003" s="7"/>
      <c r="C1003" s="8"/>
      <c r="D1003" s="8"/>
      <c r="E1003" s="8"/>
      <c r="F1003" s="8"/>
    </row>
    <row r="1004" spans="1:6">
      <c r="A1004" s="6"/>
      <c r="B1004" s="7"/>
      <c r="C1004" s="8"/>
      <c r="D1004" s="8"/>
      <c r="E1004" s="8"/>
      <c r="F1004" s="8"/>
    </row>
    <row r="1005" spans="1:6">
      <c r="A1005" s="6"/>
      <c r="B1005" s="7"/>
      <c r="C1005" s="8"/>
      <c r="D1005" s="8"/>
      <c r="E1005" s="8"/>
      <c r="F1005" s="8"/>
    </row>
    <row r="1006" spans="1:6">
      <c r="A1006" s="6"/>
      <c r="B1006" s="7"/>
      <c r="C1006" s="8"/>
      <c r="D1006" s="8"/>
      <c r="E1006" s="8"/>
      <c r="F1006" s="8"/>
    </row>
    <row r="1007" spans="1:6">
      <c r="A1007" s="6"/>
      <c r="B1007" s="7"/>
      <c r="C1007" s="8"/>
      <c r="D1007" s="8"/>
      <c r="E1007" s="8"/>
      <c r="F1007" s="8"/>
    </row>
    <row r="1008" spans="1:6">
      <c r="A1008" s="6"/>
      <c r="B1008" s="7"/>
      <c r="C1008" s="8"/>
      <c r="D1008" s="8"/>
      <c r="E1008" s="8"/>
      <c r="F1008" s="8"/>
    </row>
    <row r="1009" spans="1:6">
      <c r="A1009" s="6"/>
      <c r="B1009" s="7"/>
      <c r="C1009" s="8"/>
      <c r="D1009" s="8"/>
      <c r="E1009" s="8"/>
      <c r="F1009" s="8"/>
    </row>
    <row r="1010" spans="1:6">
      <c r="A1010" s="6"/>
      <c r="B1010" s="7"/>
      <c r="C1010" s="8"/>
      <c r="D1010" s="8"/>
      <c r="E1010" s="8"/>
      <c r="F1010" s="8"/>
    </row>
    <row r="1011" spans="1:6">
      <c r="A1011" s="6"/>
      <c r="B1011" s="7"/>
      <c r="C1011" s="8"/>
      <c r="D1011" s="8"/>
      <c r="E1011" s="8"/>
      <c r="F1011" s="8"/>
    </row>
    <row r="1012" spans="1:6">
      <c r="A1012" s="6"/>
      <c r="B1012" s="7"/>
      <c r="C1012" s="8"/>
      <c r="D1012" s="8"/>
      <c r="E1012" s="8"/>
      <c r="F1012" s="8"/>
    </row>
    <row r="1013" spans="1:6">
      <c r="A1013" s="6"/>
      <c r="B1013" s="7"/>
      <c r="C1013" s="8"/>
      <c r="D1013" s="8"/>
      <c r="E1013" s="8"/>
      <c r="F1013" s="8"/>
    </row>
    <row r="1014" spans="1:6">
      <c r="A1014" s="6"/>
      <c r="B1014" s="7"/>
      <c r="C1014" s="8"/>
      <c r="D1014" s="8"/>
      <c r="E1014" s="8"/>
      <c r="F1014" s="8"/>
    </row>
    <row r="1015" spans="1:6">
      <c r="A1015" s="6"/>
      <c r="B1015" s="7"/>
      <c r="C1015" s="8"/>
      <c r="D1015" s="8"/>
      <c r="E1015" s="8"/>
      <c r="F1015" s="8"/>
    </row>
    <row r="1016" spans="1:6">
      <c r="A1016" s="6"/>
      <c r="B1016" s="7"/>
      <c r="C1016" s="8"/>
      <c r="D1016" s="8"/>
      <c r="E1016" s="8"/>
      <c r="F1016" s="8"/>
    </row>
    <row r="1017" spans="1:6">
      <c r="A1017" s="6"/>
      <c r="B1017" s="7"/>
      <c r="C1017" s="8"/>
      <c r="D1017" s="8"/>
      <c r="E1017" s="8"/>
      <c r="F1017" s="8"/>
    </row>
    <row r="1018" spans="1:6">
      <c r="A1018" s="6"/>
      <c r="B1018" s="7"/>
      <c r="C1018" s="8"/>
      <c r="D1018" s="8"/>
      <c r="E1018" s="8"/>
      <c r="F1018" s="8"/>
    </row>
    <row r="1019" spans="1:6">
      <c r="A1019" s="6"/>
      <c r="B1019" s="7"/>
      <c r="C1019" s="8"/>
      <c r="D1019" s="8"/>
      <c r="E1019" s="8"/>
      <c r="F1019" s="8"/>
    </row>
    <row r="1020" spans="1:6">
      <c r="A1020" s="6"/>
      <c r="B1020" s="7"/>
      <c r="C1020" s="8"/>
      <c r="D1020" s="8"/>
      <c r="E1020" s="8"/>
      <c r="F1020" s="8"/>
    </row>
    <row r="1021" spans="1:6">
      <c r="A1021" s="6"/>
      <c r="B1021" s="7"/>
      <c r="C1021" s="8"/>
      <c r="D1021" s="8"/>
      <c r="E1021" s="8"/>
      <c r="F1021" s="8"/>
    </row>
    <row r="1022" spans="1:6">
      <c r="A1022" s="6"/>
      <c r="B1022" s="7"/>
      <c r="C1022" s="8"/>
      <c r="D1022" s="8"/>
      <c r="E1022" s="8"/>
      <c r="F1022" s="8"/>
    </row>
    <row r="1023" spans="1:6">
      <c r="A1023" s="6"/>
      <c r="B1023" s="7"/>
      <c r="C1023" s="8"/>
      <c r="D1023" s="8"/>
      <c r="E1023" s="8"/>
      <c r="F1023" s="8"/>
    </row>
    <row r="1024" spans="1:6">
      <c r="A1024" s="6"/>
      <c r="B1024" s="7"/>
      <c r="C1024" s="8"/>
      <c r="D1024" s="8"/>
      <c r="E1024" s="8"/>
      <c r="F1024" s="8"/>
    </row>
    <row r="1025" spans="1:6">
      <c r="A1025" s="6"/>
      <c r="B1025" s="7"/>
      <c r="C1025" s="8"/>
      <c r="D1025" s="8"/>
      <c r="E1025" s="8"/>
      <c r="F1025" s="8"/>
    </row>
    <row r="1026" spans="1:6">
      <c r="A1026" s="6"/>
      <c r="B1026" s="7"/>
      <c r="C1026" s="8"/>
      <c r="D1026" s="8"/>
      <c r="E1026" s="8"/>
      <c r="F1026" s="8"/>
    </row>
    <row r="1027" spans="1:6">
      <c r="A1027" s="6"/>
      <c r="B1027" s="7"/>
      <c r="C1027" s="8"/>
      <c r="D1027" s="8"/>
      <c r="E1027" s="8"/>
      <c r="F1027" s="8"/>
    </row>
    <row r="1028" spans="1:6">
      <c r="A1028" s="6"/>
      <c r="B1028" s="7"/>
      <c r="C1028" s="8"/>
      <c r="D1028" s="8"/>
      <c r="E1028" s="8"/>
      <c r="F1028" s="8"/>
    </row>
    <row r="1029" spans="1:6">
      <c r="A1029" s="6"/>
      <c r="B1029" s="7"/>
      <c r="C1029" s="8"/>
      <c r="D1029" s="8"/>
      <c r="E1029" s="8"/>
      <c r="F1029" s="8"/>
    </row>
    <row r="1030" spans="1:6">
      <c r="A1030" s="6"/>
      <c r="B1030" s="7"/>
      <c r="C1030" s="8"/>
      <c r="D1030" s="8"/>
      <c r="E1030" s="8"/>
      <c r="F1030" s="8"/>
    </row>
    <row r="1031" spans="1:6">
      <c r="A1031" s="6"/>
      <c r="B1031" s="7"/>
      <c r="C1031" s="8"/>
      <c r="D1031" s="8"/>
      <c r="E1031" s="8"/>
      <c r="F1031" s="8"/>
    </row>
    <row r="1032" spans="1:6">
      <c r="A1032" s="6"/>
      <c r="B1032" s="7"/>
      <c r="C1032" s="8"/>
      <c r="D1032" s="8"/>
      <c r="E1032" s="8"/>
      <c r="F1032" s="8"/>
    </row>
    <row r="1033" spans="1:6">
      <c r="A1033" s="6"/>
      <c r="B1033" s="7"/>
      <c r="C1033" s="8"/>
      <c r="D1033" s="8"/>
      <c r="E1033" s="8"/>
      <c r="F1033" s="8"/>
    </row>
    <row r="1034" spans="1:6">
      <c r="A1034" s="6"/>
      <c r="B1034" s="7"/>
      <c r="C1034" s="8"/>
      <c r="D1034" s="8"/>
      <c r="E1034" s="8"/>
      <c r="F1034" s="8"/>
    </row>
    <row r="1035" spans="1:6">
      <c r="A1035" s="6"/>
      <c r="B1035" s="7"/>
      <c r="C1035" s="8"/>
      <c r="D1035" s="8"/>
      <c r="E1035" s="8"/>
      <c r="F1035" s="8"/>
    </row>
    <row r="1036" spans="1:6">
      <c r="A1036" s="6"/>
      <c r="B1036" s="7"/>
      <c r="C1036" s="8"/>
      <c r="D1036" s="8"/>
      <c r="E1036" s="8"/>
      <c r="F1036" s="8"/>
    </row>
    <row r="1037" spans="1:6">
      <c r="A1037" s="6"/>
      <c r="B1037" s="7"/>
      <c r="C1037" s="8"/>
      <c r="D1037" s="8"/>
      <c r="E1037" s="8"/>
      <c r="F1037" s="8"/>
    </row>
    <row r="1038" spans="1:6">
      <c r="A1038" s="6"/>
      <c r="B1038" s="7"/>
      <c r="C1038" s="8"/>
      <c r="D1038" s="8"/>
      <c r="E1038" s="8"/>
      <c r="F1038" s="8"/>
    </row>
    <row r="1039" spans="1:6">
      <c r="A1039" s="6"/>
      <c r="B1039" s="7"/>
      <c r="C1039" s="8"/>
      <c r="D1039" s="8"/>
      <c r="E1039" s="8"/>
      <c r="F1039" s="8"/>
    </row>
    <row r="1040" spans="1:6">
      <c r="A1040" s="6"/>
      <c r="B1040" s="7"/>
      <c r="C1040" s="8"/>
      <c r="D1040" s="8"/>
      <c r="E1040" s="8"/>
      <c r="F1040" s="8"/>
    </row>
    <row r="1041" spans="1:6">
      <c r="A1041" s="6"/>
      <c r="B1041" s="7"/>
      <c r="C1041" s="8"/>
      <c r="D1041" s="8"/>
      <c r="E1041" s="8"/>
      <c r="F1041" s="8"/>
    </row>
    <row r="1042" spans="1:6">
      <c r="A1042" s="6"/>
      <c r="B1042" s="7"/>
      <c r="C1042" s="8"/>
      <c r="D1042" s="8"/>
      <c r="E1042" s="8"/>
      <c r="F1042" s="8"/>
    </row>
    <row r="1043" spans="1:6">
      <c r="A1043" s="6"/>
      <c r="B1043" s="7"/>
      <c r="C1043" s="8"/>
      <c r="D1043" s="8"/>
      <c r="E1043" s="8"/>
      <c r="F1043" s="8"/>
    </row>
    <row r="1044" spans="1:6">
      <c r="A1044" s="6"/>
      <c r="B1044" s="7"/>
      <c r="C1044" s="8"/>
      <c r="D1044" s="8"/>
      <c r="E1044" s="8"/>
      <c r="F1044" s="8"/>
    </row>
    <row r="1045" spans="1:6">
      <c r="A1045" s="6"/>
      <c r="B1045" s="7"/>
      <c r="C1045" s="8"/>
      <c r="D1045" s="8"/>
      <c r="E1045" s="8"/>
      <c r="F1045" s="8"/>
    </row>
    <row r="1046" spans="1:6">
      <c r="A1046" s="6"/>
      <c r="B1046" s="7"/>
      <c r="C1046" s="8"/>
      <c r="D1046" s="8"/>
      <c r="E1046" s="8"/>
      <c r="F1046" s="8"/>
    </row>
    <row r="1047" spans="1:6">
      <c r="A1047" s="6"/>
      <c r="B1047" s="7"/>
      <c r="C1047" s="8"/>
      <c r="D1047" s="8"/>
      <c r="E1047" s="8"/>
      <c r="F1047" s="8"/>
    </row>
    <row r="1048" spans="1:6">
      <c r="A1048" s="6"/>
      <c r="B1048" s="7"/>
      <c r="C1048" s="8"/>
      <c r="D1048" s="8"/>
      <c r="E1048" s="8"/>
      <c r="F1048" s="8"/>
    </row>
    <row r="1049" spans="1:6">
      <c r="A1049" s="6"/>
      <c r="B1049" s="7"/>
      <c r="C1049" s="8"/>
      <c r="D1049" s="8"/>
      <c r="E1049" s="8"/>
      <c r="F1049" s="8"/>
    </row>
    <row r="1050" spans="1:6">
      <c r="A1050" s="6"/>
      <c r="B1050" s="7"/>
      <c r="C1050" s="8"/>
      <c r="D1050" s="8"/>
      <c r="E1050" s="8"/>
      <c r="F1050" s="8"/>
    </row>
    <row r="1051" spans="1:6">
      <c r="A1051" s="6"/>
      <c r="B1051" s="7"/>
      <c r="C1051" s="8"/>
      <c r="D1051" s="8"/>
      <c r="E1051" s="8"/>
      <c r="F1051" s="8"/>
    </row>
    <row r="1052" spans="1:6">
      <c r="A1052" s="6"/>
      <c r="B1052" s="7"/>
      <c r="C1052" s="8"/>
      <c r="D1052" s="8"/>
      <c r="E1052" s="8"/>
      <c r="F1052" s="8"/>
    </row>
    <row r="1053" spans="1:6">
      <c r="A1053" s="6"/>
      <c r="B1053" s="7"/>
      <c r="C1053" s="8"/>
      <c r="D1053" s="8"/>
      <c r="E1053" s="8"/>
      <c r="F1053" s="8"/>
    </row>
    <row r="1054" spans="1:6">
      <c r="A1054" s="6"/>
      <c r="B1054" s="7"/>
      <c r="C1054" s="8"/>
      <c r="D1054" s="8"/>
      <c r="E1054" s="8"/>
      <c r="F1054" s="8"/>
    </row>
    <row r="1055" spans="1:6">
      <c r="A1055" s="6"/>
      <c r="B1055" s="7"/>
      <c r="C1055" s="8"/>
      <c r="D1055" s="8"/>
      <c r="E1055" s="8"/>
      <c r="F1055" s="8"/>
    </row>
    <row r="1056" spans="1:6">
      <c r="A1056" s="6"/>
      <c r="B1056" s="7"/>
      <c r="C1056" s="8"/>
      <c r="D1056" s="8"/>
      <c r="E1056" s="8"/>
      <c r="F1056" s="8"/>
    </row>
    <row r="1057" spans="1:6">
      <c r="A1057" s="6"/>
      <c r="B1057" s="7"/>
      <c r="C1057" s="8"/>
      <c r="D1057" s="8"/>
      <c r="E1057" s="8"/>
      <c r="F1057" s="8"/>
    </row>
    <row r="1058" spans="1:6">
      <c r="A1058" s="6"/>
      <c r="B1058" s="7"/>
      <c r="C1058" s="8"/>
      <c r="D1058" s="8"/>
      <c r="E1058" s="8"/>
      <c r="F1058" s="8"/>
    </row>
    <row r="1059" spans="1:6">
      <c r="A1059" s="6"/>
      <c r="B1059" s="7"/>
      <c r="C1059" s="8"/>
      <c r="D1059" s="8"/>
      <c r="E1059" s="8"/>
      <c r="F1059" s="8"/>
    </row>
    <row r="1060" spans="1:6">
      <c r="A1060" s="6"/>
      <c r="B1060" s="7"/>
      <c r="C1060" s="8"/>
      <c r="D1060" s="8"/>
      <c r="E1060" s="8"/>
      <c r="F1060" s="8"/>
    </row>
    <row r="1061" spans="1:6">
      <c r="A1061" s="6"/>
      <c r="B1061" s="7"/>
      <c r="C1061" s="8"/>
      <c r="D1061" s="8"/>
      <c r="E1061" s="8"/>
      <c r="F1061" s="8"/>
    </row>
    <row r="1062" spans="1:6">
      <c r="A1062" s="6"/>
      <c r="B1062" s="7"/>
      <c r="C1062" s="8"/>
      <c r="D1062" s="8"/>
      <c r="E1062" s="8"/>
      <c r="F1062" s="8"/>
    </row>
    <row r="1063" spans="1:6">
      <c r="A1063" s="6"/>
      <c r="B1063" s="7"/>
      <c r="C1063" s="8"/>
      <c r="D1063" s="8"/>
      <c r="E1063" s="8"/>
      <c r="F1063" s="8"/>
    </row>
    <row r="1064" spans="1:6">
      <c r="A1064" s="6"/>
      <c r="B1064" s="7"/>
      <c r="C1064" s="8"/>
      <c r="D1064" s="8"/>
      <c r="E1064" s="8"/>
      <c r="F1064" s="8"/>
    </row>
    <row r="1065" spans="1:6">
      <c r="A1065" s="6"/>
      <c r="B1065" s="7"/>
      <c r="C1065" s="8"/>
      <c r="D1065" s="8"/>
      <c r="E1065" s="8"/>
      <c r="F1065" s="8"/>
    </row>
    <row r="1066" spans="1:6">
      <c r="A1066" s="6"/>
      <c r="B1066" s="7"/>
      <c r="C1066" s="8"/>
      <c r="D1066" s="8"/>
      <c r="E1066" s="8"/>
      <c r="F1066" s="8"/>
    </row>
    <row r="1067" spans="1:6">
      <c r="A1067" s="6"/>
      <c r="B1067" s="7"/>
      <c r="C1067" s="8"/>
      <c r="D1067" s="8"/>
      <c r="E1067" s="8"/>
      <c r="F1067" s="8"/>
    </row>
  </sheetData>
  <mergeCells count="12">
    <mergeCell ref="G34:H34"/>
    <mergeCell ref="A35:W35"/>
    <mergeCell ref="A316:J316"/>
    <mergeCell ref="A317:J317"/>
    <mergeCell ref="A318:J318"/>
    <mergeCell ref="A319:J319"/>
    <mergeCell ref="A320:J320"/>
    <mergeCell ref="A36:A39"/>
    <mergeCell ref="B36:B39"/>
    <mergeCell ref="C36:C39"/>
    <mergeCell ref="D36:D39"/>
    <mergeCell ref="J36:J39"/>
  </mergeCells>
  <printOptions horizontalCentered="1"/>
  <pageMargins left="0.31496062992126" right="0.118110236220472" top="0.15748031496063" bottom="0.15748031496063" header="0.31496062992126" footer="0.31496062992126"/>
  <pageSetup paperSize="9" scale="40" fitToHeight="0" orientation="portrait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55" zoomScaleNormal="55" topLeftCell="A61" workbookViewId="0">
      <selection activeCell="AL76" sqref="AL76"/>
    </sheetView>
  </sheetViews>
  <sheetFormatPr defaultColWidth="9" defaultRowHeight="14.4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Abraham Pilar “Abe” Osman</cp:lastModifiedBy>
  <dcterms:created xsi:type="dcterms:W3CDTF">2026-04-24T02:33:00Z</dcterms:created>
  <cp:lastPrinted>2026-05-11T08:20:00Z</cp:lastPrinted>
  <dcterms:modified xsi:type="dcterms:W3CDTF">2026-07-15T10:36:50Z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5C4ADD2A7AA64DB08A0CC84D5BFE6791_12</vt:lpwstr>
  </property>
  <property fmtid="{D5CDD505-2E9C-101B-9397-08002B2CF9AE}" pid="3" name="KSOProductBuildVer">
    <vt:lpwstr>2057-12.2.0.23206</vt:lpwstr>
  </property>
</Properties>
</file>