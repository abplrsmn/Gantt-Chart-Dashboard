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rah\OneDrive\Desktop\"/>
    </mc:Choice>
  </mc:AlternateContent>
  <xr:revisionPtr revIDLastSave="0" documentId="13_ncr:1_{E8764963-430F-4C70-B8B0-CE20E4CBD310}" xr6:coauthVersionLast="47" xr6:coauthVersionMax="47" xr10:uidLastSave="{00000000-0000-0000-0000-000000000000}"/>
  <bookViews>
    <workbookView xWindow="11424" yWindow="0" windowWidth="11712" windowHeight="14496" xr2:uid="{2C63BD17-0A73-4BED-AA97-7E0CDAFE1F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65" i="1" l="1"/>
  <c r="Y65" i="1"/>
  <c r="V64" i="1"/>
  <c r="Y63" i="1"/>
  <c r="AC62" i="1"/>
  <c r="Y62" i="1"/>
  <c r="L57" i="1"/>
  <c r="Y56" i="1"/>
  <c r="AC55" i="1"/>
  <c r="X54" i="1"/>
  <c r="R53" i="1"/>
  <c r="S53" i="1" s="1"/>
  <c r="L47" i="1"/>
  <c r="O47" i="1" s="1"/>
  <c r="S40" i="1"/>
  <c r="Y39" i="1"/>
  <c r="L38" i="1"/>
  <c r="C38" i="1"/>
  <c r="C39" i="1" s="1"/>
  <c r="C40" i="1" s="1"/>
  <c r="C41" i="1" s="1"/>
  <c r="C42" i="1" s="1"/>
  <c r="C43" i="1" s="1"/>
  <c r="C44" i="1" s="1"/>
  <c r="C45" i="1" s="1"/>
  <c r="C47" i="1" s="1"/>
  <c r="C48" i="1" s="1"/>
  <c r="C49" i="1" s="1"/>
  <c r="C50" i="1" s="1"/>
  <c r="C51" i="1" s="1"/>
  <c r="C53" i="1" s="1"/>
  <c r="C54" i="1" s="1"/>
  <c r="C55" i="1" s="1"/>
  <c r="C56" i="1" s="1"/>
  <c r="C57" i="1" s="1"/>
  <c r="C58" i="1" s="1"/>
  <c r="C59" i="1" s="1"/>
  <c r="C62" i="1" s="1"/>
  <c r="C63" i="1" s="1"/>
  <c r="C65" i="1" s="1"/>
  <c r="C67" i="1" s="1"/>
  <c r="C68" i="1" s="1"/>
  <c r="C69" i="1" s="1"/>
  <c r="C70" i="1" s="1"/>
  <c r="C71" i="1" s="1"/>
  <c r="C72" i="1" s="1"/>
  <c r="C74" i="1" s="1"/>
  <c r="L37" i="1"/>
  <c r="M37" i="1" s="1"/>
  <c r="R36" i="1"/>
  <c r="S36" i="1" s="1"/>
  <c r="Q28" i="1"/>
  <c r="B27" i="1"/>
  <c r="B30" i="1" s="1"/>
  <c r="B29" i="1" s="1"/>
  <c r="B28" i="1" s="1"/>
  <c r="O26" i="1"/>
  <c r="M26" i="1"/>
  <c r="L26" i="1"/>
  <c r="O25" i="1"/>
  <c r="L25" i="1"/>
  <c r="M25" i="1" s="1"/>
  <c r="L23" i="1"/>
  <c r="O23" i="1" s="1"/>
  <c r="Q22" i="1"/>
  <c r="B22" i="1"/>
  <c r="L20" i="1"/>
  <c r="O20" i="1" s="1"/>
  <c r="Q20" i="1" s="1"/>
  <c r="R20" i="1" s="1"/>
  <c r="S20" i="1" s="1"/>
  <c r="L19" i="1"/>
  <c r="O19" i="1" s="1"/>
  <c r="Q19" i="1" s="1"/>
  <c r="R19" i="1" s="1"/>
  <c r="S19" i="1" s="1"/>
  <c r="L18" i="1"/>
  <c r="O18" i="1" s="1"/>
  <c r="Q18" i="1" s="1"/>
  <c r="R18" i="1" s="1"/>
  <c r="S18" i="1" s="1"/>
  <c r="Y15" i="1"/>
  <c r="B14" i="1"/>
  <c r="B16" i="1" s="1"/>
  <c r="B17" i="1" s="1"/>
  <c r="B18" i="1" s="1"/>
  <c r="B11" i="1"/>
  <c r="L10" i="1"/>
  <c r="M10" i="1" s="1"/>
  <c r="Y8" i="1"/>
  <c r="C8" i="1"/>
  <c r="C10" i="1" s="1"/>
  <c r="C11" i="1" s="1"/>
  <c r="C12" i="1" s="1"/>
  <c r="C14" i="1" s="1"/>
  <c r="C16" i="1" s="1"/>
  <c r="C17" i="1" s="1"/>
  <c r="C18" i="1" s="1"/>
  <c r="C19" i="1" s="1"/>
  <c r="C20" i="1" s="1"/>
  <c r="C23" i="1" s="1"/>
  <c r="C25" i="1" s="1"/>
  <c r="C26" i="1" s="1"/>
  <c r="C27" i="1" s="1"/>
  <c r="C28" i="1" s="1"/>
  <c r="C29" i="1" s="1"/>
  <c r="C30" i="1" s="1"/>
  <c r="C32" i="1" s="1"/>
  <c r="C33" i="1" s="1"/>
  <c r="C34" i="1" s="1"/>
  <c r="C36" i="1" s="1"/>
  <c r="AC7" i="1"/>
  <c r="AA3" i="1"/>
  <c r="M47" i="1" l="1"/>
  <c r="M18" i="1"/>
  <c r="M23" i="1"/>
  <c r="M20" i="1"/>
  <c r="M19" i="1"/>
</calcChain>
</file>

<file path=xl/sharedStrings.xml><?xml version="1.0" encoding="utf-8"?>
<sst xmlns="http://schemas.openxmlformats.org/spreadsheetml/2006/main" count="187" uniqueCount="161">
  <si>
    <t>MONITORING SHEET PROJECT 2026</t>
  </si>
  <si>
    <t>UNIT</t>
  </si>
  <si>
    <t>NO</t>
  </si>
  <si>
    <t>DESCRIPTION</t>
  </si>
  <si>
    <t>OPERATIONAL BRIEF (PR)</t>
  </si>
  <si>
    <t>DESIGN (HoD)</t>
  </si>
  <si>
    <t xml:space="preserve">PROJECT CONTROL </t>
  </si>
  <si>
    <t>PROJECT MANAGEMENT TEAM</t>
  </si>
  <si>
    <t>HANDOVER</t>
  </si>
  <si>
    <t>BRIEF</t>
  </si>
  <si>
    <t>RECEIVED DATE</t>
  </si>
  <si>
    <t>BUDGET/ CAPEX</t>
  </si>
  <si>
    <t>START DESIGN DATE</t>
  </si>
  <si>
    <t>DESIGN APPROVAL
 (+1 month)</t>
  </si>
  <si>
    <t>duration : delay(-) / +</t>
  </si>
  <si>
    <t>WORKING DRAWING
 (+3 weeks)</t>
  </si>
  <si>
    <t>TENDER START</t>
  </si>
  <si>
    <t>APS = SPK RELEASED (+3 weeks)</t>
  </si>
  <si>
    <t>CONTRACT AMOUNT</t>
  </si>
  <si>
    <t>COMMENCE DATE</t>
  </si>
  <si>
    <t>END CONTRACT</t>
  </si>
  <si>
    <t>ACTUAL COMPLETION</t>
  </si>
  <si>
    <t>deviation : delay(-) / +</t>
  </si>
  <si>
    <t>CURRENT SITE PROGRESS</t>
  </si>
  <si>
    <t>REMARKS</t>
  </si>
  <si>
    <t>BAST -1</t>
  </si>
  <si>
    <t>BAST-2</t>
  </si>
  <si>
    <t>SPH</t>
  </si>
  <si>
    <t>SPH TENNIS COURT INDOOR</t>
  </si>
  <si>
    <t>resurfacing (painting) 2 indoor court</t>
  </si>
  <si>
    <t>+4</t>
  </si>
  <si>
    <t>maintenance period</t>
  </si>
  <si>
    <t>SPH TENNIS COURT 3</t>
  </si>
  <si>
    <t>Repair crack and resurfacing</t>
  </si>
  <si>
    <t>60% on schedule. Resume on 1 April</t>
  </si>
  <si>
    <t>AJK</t>
  </si>
  <si>
    <t xml:space="preserve">MONAS 1-4 &amp; CORRIDOR : CARPET, PADDED WALL &amp; PARTITION </t>
  </si>
  <si>
    <t>Replacement (ripped &amp; uneven)</t>
  </si>
  <si>
    <t xml:space="preserve">ID = internal
primatama/ dim carpet </t>
  </si>
  <si>
    <t>SOAP DISPENSER : guestroom, public area toilet and fitness center room</t>
  </si>
  <si>
    <t>awaiting PR</t>
  </si>
  <si>
    <t>Mezanine ballroom curtain</t>
  </si>
  <si>
    <t>AKB</t>
  </si>
  <si>
    <t>2025 : CANOPY &amp; FACADE NORTH LOBBY</t>
  </si>
  <si>
    <t>Redirected</t>
  </si>
  <si>
    <t>to review material board by consultant</t>
  </si>
  <si>
    <t>postpone due to LMIIR permission</t>
  </si>
  <si>
    <t>after permission from LMIIR 26 Feb 2026</t>
  </si>
  <si>
    <t>GLASS FACADE SOUNDPROOFING 26 ROOMS</t>
  </si>
  <si>
    <t>dec 2025 : unit has agreed to close the sound leakage from ceilling prior to facade modification &amp; measure the DB afterwards</t>
  </si>
  <si>
    <t>Make Over Drop Off Area / Tile Replacement</t>
  </si>
  <si>
    <t>Rain Curtain For Paon</t>
  </si>
  <si>
    <t>internal</t>
  </si>
  <si>
    <t>Digital Curtain For Chapel</t>
  </si>
  <si>
    <t>AEI - HENRY'S</t>
  </si>
  <si>
    <t>FITOUT &amp; FURNITURE 
FFNE, OSNE &amp; IT</t>
  </si>
  <si>
    <t>by ID consultant</t>
  </si>
  <si>
    <t>IKG</t>
  </si>
  <si>
    <t>SAND STORAGE</t>
  </si>
  <si>
    <t>cancelled by GM</t>
  </si>
  <si>
    <t>AEI - EAGLE ROOM</t>
  </si>
  <si>
    <t>FITOUT &amp; IT, MEP</t>
  </si>
  <si>
    <t>ABD</t>
  </si>
  <si>
    <t>AEI - BALLROOM &amp; MEETING RM (2)</t>
  </si>
  <si>
    <t>LIMITED TO FIT OUT + IT + Videotron for Ballroom</t>
  </si>
  <si>
    <t>REDRAW BUILDING</t>
  </si>
  <si>
    <t>by ALTIRA</t>
  </si>
  <si>
    <t>To complete the redrawing of all general plans, elevations, sections, and necessary blow-up details</t>
  </si>
  <si>
    <t>Buffet Island / Cluster Table</t>
  </si>
  <si>
    <t>awaiting PR - Q3</t>
  </si>
  <si>
    <t>Replacement Wooden Sauna &amp; Machine</t>
  </si>
  <si>
    <t>Repair Wall Entrance Hotel Side - Sumatera</t>
  </si>
  <si>
    <t>Restaurant Taruma Chair</t>
  </si>
  <si>
    <t>replacement of broken chair, no changes on existing model - to proceed under ops/ unit</t>
  </si>
  <si>
    <t>ASM</t>
  </si>
  <si>
    <t xml:space="preserve">AEI - MUR 18'TH : Q1 &amp; Q1A </t>
  </si>
  <si>
    <t>INTERIOR &amp; FURNITURE
exclude OSNE</t>
  </si>
  <si>
    <t>Redesign by LOKA</t>
  </si>
  <si>
    <t>Completed</t>
  </si>
  <si>
    <t>2025 : Room Renovation 8+3 units by MyDesign</t>
  </si>
  <si>
    <t>temination on 35-40 % progress</t>
  </si>
  <si>
    <t>aborted project</t>
  </si>
  <si>
    <t>Room Dining Chair</t>
  </si>
  <si>
    <t>AME</t>
  </si>
  <si>
    <t>AEI - NEW GYM</t>
  </si>
  <si>
    <t>TENDER DRAWING DONE 16 Feb 2026</t>
  </si>
  <si>
    <t>AEI - PEONY</t>
  </si>
  <si>
    <t>AEI - RIAS</t>
  </si>
  <si>
    <t>LOKA</t>
  </si>
  <si>
    <t>2025 : AME wood parquet</t>
  </si>
  <si>
    <t>continue from 2025, REPLACE THE WOODEN PARQUET RESTAURANT AREA</t>
  </si>
  <si>
    <t>start 12 April</t>
  </si>
  <si>
    <t>2025 : Wall lamp replacement at Guest Corridor</t>
  </si>
  <si>
    <t>Replace the corridor wall lamp with the new design</t>
  </si>
  <si>
    <t>TENDER PROCESS</t>
  </si>
  <si>
    <t>2025 : Replace Dimmer lighting - Brightness at Lotus 1,2,3</t>
  </si>
  <si>
    <t>to liaise with Dharmawan Lighting to provide clear input on existing condition</t>
  </si>
  <si>
    <t>Glass window film 3M - at ballroom foyer + pool cafe + restaurant area (teppan, private, etc)</t>
  </si>
  <si>
    <t>Wallpaper / wall painting alamanda foyer + landing area 9th floor</t>
  </si>
  <si>
    <t>awaiting PR - Q4</t>
  </si>
  <si>
    <t>Sofa VIP</t>
  </si>
  <si>
    <t>soundproof system Ballroom partition</t>
  </si>
  <si>
    <t>gasket &amp; accoustic system</t>
  </si>
  <si>
    <t>APS</t>
  </si>
  <si>
    <t>ONGOING</t>
  </si>
  <si>
    <t>APL</t>
  </si>
  <si>
    <t>AEI - THE LOUNGE (Legacy Lounge)</t>
  </si>
  <si>
    <t xml:space="preserve">2025 : PPR Pipe Replacement </t>
  </si>
  <si>
    <t>Defect list</t>
  </si>
  <si>
    <t>2025 : Replace ceiling corridor</t>
  </si>
  <si>
    <t>relate with PPR. Timeline = feb 2026 (after replacement work completed)</t>
  </si>
  <si>
    <t>Facade Repair &amp; Painting</t>
  </si>
  <si>
    <t>to split between repair &amp; aesthetic</t>
  </si>
  <si>
    <t>awaiting PR - Q1</t>
  </si>
  <si>
    <t xml:space="preserve">2025 : CORRIDOR CARPET </t>
  </si>
  <si>
    <t>12 level : 5th-18th
awaiting ceilling work completion by 30 April</t>
  </si>
  <si>
    <t>ref num : 034.DAP.APL-CORRIDOR CARPET</t>
  </si>
  <si>
    <t>ALV</t>
  </si>
  <si>
    <t xml:space="preserve">2025 : WATERPROOFING Concrete Roof </t>
  </si>
  <si>
    <t>Palm, Lobby Lounge, ebony, drop off</t>
  </si>
  <si>
    <t>Unbudgeted</t>
  </si>
  <si>
    <t>AEI : MUR 6'th : deluxe &amp; bussiness</t>
  </si>
  <si>
    <t>2 Sept 2025</t>
  </si>
  <si>
    <t>BY LOKA</t>
  </si>
  <si>
    <t>LANDSCAPE : BOULEVARD</t>
  </si>
  <si>
    <t>BY ALTIRA</t>
  </si>
  <si>
    <t>LANDSCAPE : GATE</t>
  </si>
  <si>
    <t>76% (Awaiting signage)</t>
  </si>
  <si>
    <t>LANDSCAPE : CASCADE FOUNTAIN</t>
  </si>
  <si>
    <t>LANDSCAPE : LOBBY DROP OFF</t>
  </si>
  <si>
    <t>SOFTSCAPE</t>
  </si>
  <si>
    <t>PENDING CONTRACT</t>
  </si>
  <si>
    <t xml:space="preserve">ENTRANCE SIGNAGE </t>
  </si>
  <si>
    <t>2025 : MAHOGANY REPAIR ROOF FRAMES/ JASMINE GARDEN</t>
  </si>
  <si>
    <t>unbudgeted &amp; current status is on site investigation</t>
  </si>
  <si>
    <t>ACC</t>
  </si>
  <si>
    <t>REPAIR SURFACE TENNIS COURT 5&amp;6</t>
  </si>
  <si>
    <t>defect list rectification</t>
  </si>
  <si>
    <t>PATHWAY REPAIR</t>
  </si>
  <si>
    <t>1,5 meters width</t>
  </si>
  <si>
    <t>Mock up approved 9 Sept</t>
  </si>
  <si>
    <t>5 Sept 2025</t>
  </si>
  <si>
    <t>30,33%</t>
  </si>
  <si>
    <t>introduce new vendor : ALTIRA</t>
  </si>
  <si>
    <t>done 142 m2</t>
  </si>
  <si>
    <t>ACC TENNIS COURT BENCHES</t>
  </si>
  <si>
    <t>100% onsite</t>
  </si>
  <si>
    <t>AMD</t>
  </si>
  <si>
    <t>FR : FACADE REPAIR &amp; REPAINTING</t>
  </si>
  <si>
    <t>FIRST REIT REIMBURSEMENT</t>
  </si>
  <si>
    <t>26,2%</t>
  </si>
  <si>
    <t>Furniture for outdoor amicoo</t>
  </si>
  <si>
    <t>Sofa banquet</t>
  </si>
  <si>
    <t>Director chair for meeting room</t>
  </si>
  <si>
    <t>Portable folded partition</t>
  </si>
  <si>
    <t>Lazy susan</t>
  </si>
  <si>
    <t>rotating glass piece on a dining table - to proceed under ops/ unit</t>
  </si>
  <si>
    <t>APK</t>
  </si>
  <si>
    <t>ROOF WATERPROOFING</t>
  </si>
  <si>
    <t>under 2025 capex &amp; nott to proceed until June 2026</t>
  </si>
  <si>
    <t>awaiting PR &amp; TBC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</si>
</sst>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&quot;-&quot;mmm&quot;-&quot;yyyy"/>
    <numFmt numFmtId="165" formatCode="[$Rp]#,##0"/>
    <numFmt numFmtId="166" formatCode="d\ mmm\ yyyy"/>
    <numFmt numFmtId="167" formatCode="d\-mmm\-yyyy"/>
  </numFmts>
  <fonts count="10">
    <font>
      <sz val="11"/>
      <color theme="1"/>
      <name val="Aptos Narrow"/>
      <family val="2"/>
      <scheme val="minor"/>
    </font>
    <font>
      <b/>
      <sz val="11"/>
      <color theme="1"/>
      <name val="Arial"/>
      <charset val="134"/>
    </font>
    <font>
      <b/>
      <sz val="11"/>
      <color theme="1"/>
      <name val="Arial Narrow"/>
      <charset val="134"/>
    </font>
    <font>
      <sz val="11"/>
      <color theme="1"/>
      <name val="Arial Narrow"/>
      <charset val="134"/>
    </font>
    <font>
      <sz val="11"/>
      <color theme="1"/>
      <name val="Arial"/>
      <charset val="134"/>
    </font>
    <font>
      <sz val="11"/>
      <color theme="1"/>
      <name val="Aptos Narrow"/>
      <charset val="134"/>
      <scheme val="minor"/>
    </font>
    <font>
      <sz val="12"/>
      <color theme="1"/>
      <name val="Aptos Narrow"/>
      <charset val="134"/>
      <scheme val="minor"/>
    </font>
    <font>
      <sz val="12"/>
      <color theme="1"/>
      <name val="Arial"/>
      <charset val="134"/>
    </font>
    <font>
      <sz val="10"/>
      <color theme="1"/>
      <name val="Aptos Narrow"/>
      <charset val="134"/>
      <scheme val="minor"/>
    </font>
    <font>
      <sz val="10"/>
      <color theme="1"/>
      <name val="Arial"/>
      <charset val="134"/>
    </font>
  </fonts>
  <fills count="1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0B5394"/>
        <bgColor rgb="FF0B5394"/>
      </patternFill>
    </fill>
    <fill>
      <patternFill patternType="solid">
        <fgColor theme="7"/>
        <bgColor theme="7"/>
      </patternFill>
    </fill>
    <fill>
      <patternFill patternType="solid">
        <fgColor rgb="FFE69138"/>
        <bgColor rgb="FFE69138"/>
      </patternFill>
    </fill>
    <fill>
      <patternFill patternType="solid">
        <fgColor rgb="FFEFEFEF"/>
        <bgColor rgb="FFEFEFEF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3" fontId="1" fillId="6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4" fontId="4" fillId="4" borderId="0" xfId="0" applyNumberFormat="1" applyFont="1" applyFill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9" borderId="12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165" fontId="4" fillId="0" borderId="13" xfId="0" applyNumberFormat="1" applyFont="1" applyBorder="1" applyAlignment="1">
      <alignment horizontal="left" vertical="center" wrapText="1"/>
    </xf>
    <xf numFmtId="164" fontId="4" fillId="0" borderId="13" xfId="0" applyNumberFormat="1" applyFont="1" applyBorder="1" applyAlignment="1">
      <alignment horizontal="center" vertical="center"/>
    </xf>
    <xf numFmtId="3" fontId="4" fillId="0" borderId="13" xfId="0" applyNumberFormat="1" applyFont="1" applyBorder="1" applyAlignment="1">
      <alignment horizontal="center" vertical="center"/>
    </xf>
    <xf numFmtId="14" fontId="4" fillId="0" borderId="13" xfId="0" applyNumberFormat="1" applyFont="1" applyBorder="1" applyAlignment="1">
      <alignment horizontal="center" vertical="center"/>
    </xf>
    <xf numFmtId="14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164" fontId="4" fillId="0" borderId="13" xfId="0" applyNumberFormat="1" applyFont="1" applyBorder="1" applyAlignment="1">
      <alignment horizontal="center" vertical="center" wrapText="1"/>
    </xf>
    <xf numFmtId="164" fontId="4" fillId="4" borderId="13" xfId="0" applyNumberFormat="1" applyFont="1" applyFill="1" applyBorder="1" applyAlignment="1">
      <alignment horizontal="center" vertical="center"/>
    </xf>
    <xf numFmtId="0" fontId="4" fillId="4" borderId="13" xfId="0" quotePrefix="1" applyFont="1" applyFill="1" applyBorder="1" applyAlignment="1">
      <alignment horizontal="center" vertical="center" wrapText="1"/>
    </xf>
    <xf numFmtId="0" fontId="4" fillId="0" borderId="13" xfId="0" applyFont="1" applyBorder="1" applyAlignment="1">
      <alignment vertical="center"/>
    </xf>
    <xf numFmtId="164" fontId="4" fillId="10" borderId="13" xfId="0" applyNumberFormat="1" applyFont="1" applyFill="1" applyBorder="1" applyAlignment="1">
      <alignment horizontal="center" vertical="center" wrapText="1"/>
    </xf>
    <xf numFmtId="3" fontId="4" fillId="0" borderId="13" xfId="0" applyNumberFormat="1" applyFont="1" applyBorder="1" applyAlignment="1">
      <alignment horizontal="center" vertical="center" wrapText="1"/>
    </xf>
    <xf numFmtId="164" fontId="4" fillId="10" borderId="13" xfId="0" applyNumberFormat="1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 wrapText="1"/>
    </xf>
    <xf numFmtId="9" fontId="4" fillId="0" borderId="13" xfId="0" applyNumberFormat="1" applyFont="1" applyBorder="1" applyAlignment="1">
      <alignment horizontal="center" vertical="center" wrapText="1"/>
    </xf>
    <xf numFmtId="0" fontId="5" fillId="0" borderId="13" xfId="0" applyFont="1" applyBorder="1"/>
    <xf numFmtId="0" fontId="1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 wrapText="1"/>
    </xf>
    <xf numFmtId="165" fontId="4" fillId="0" borderId="13" xfId="0" applyNumberFormat="1" applyFont="1" applyBorder="1" applyAlignment="1">
      <alignment horizontal="center" vertical="center"/>
    </xf>
    <xf numFmtId="164" fontId="4" fillId="4" borderId="13" xfId="0" applyNumberFormat="1" applyFont="1" applyFill="1" applyBorder="1" applyAlignment="1">
      <alignment horizontal="center" vertical="center" wrapText="1"/>
    </xf>
    <xf numFmtId="3" fontId="4" fillId="4" borderId="13" xfId="0" applyNumberFormat="1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left" vertical="center" wrapText="1"/>
    </xf>
    <xf numFmtId="0" fontId="4" fillId="10" borderId="13" xfId="0" applyFont="1" applyFill="1" applyBorder="1" applyAlignment="1">
      <alignment horizontal="left" vertical="center" wrapText="1"/>
    </xf>
    <xf numFmtId="0" fontId="4" fillId="10" borderId="13" xfId="0" applyFont="1" applyFill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165" fontId="4" fillId="0" borderId="13" xfId="0" applyNumberFormat="1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 wrapText="1"/>
    </xf>
    <xf numFmtId="14" fontId="4" fillId="4" borderId="13" xfId="0" applyNumberFormat="1" applyFont="1" applyFill="1" applyBorder="1" applyAlignment="1">
      <alignment horizontal="center" vertical="center"/>
    </xf>
    <xf numFmtId="165" fontId="4" fillId="4" borderId="13" xfId="0" applyNumberFormat="1" applyFont="1" applyFill="1" applyBorder="1" applyAlignment="1">
      <alignment horizontal="left" vertical="center" wrapText="1"/>
    </xf>
    <xf numFmtId="14" fontId="4" fillId="4" borderId="13" xfId="0" applyNumberFormat="1" applyFont="1" applyFill="1" applyBorder="1" applyAlignment="1">
      <alignment horizontal="center" vertical="center" wrapText="1"/>
    </xf>
    <xf numFmtId="165" fontId="4" fillId="2" borderId="13" xfId="0" applyNumberFormat="1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3" fontId="4" fillId="2" borderId="13" xfId="0" applyNumberFormat="1" applyFont="1" applyFill="1" applyBorder="1" applyAlignment="1">
      <alignment horizontal="center" vertical="center"/>
    </xf>
    <xf numFmtId="166" fontId="4" fillId="2" borderId="13" xfId="0" applyNumberFormat="1" applyFont="1" applyFill="1" applyBorder="1" applyAlignment="1">
      <alignment horizontal="center" vertical="center"/>
    </xf>
    <xf numFmtId="0" fontId="5" fillId="10" borderId="13" xfId="0" applyFont="1" applyFill="1" applyBorder="1" applyAlignment="1">
      <alignment horizontal="left" wrapText="1"/>
    </xf>
    <xf numFmtId="3" fontId="4" fillId="10" borderId="13" xfId="0" applyNumberFormat="1" applyFont="1" applyFill="1" applyBorder="1" applyAlignment="1">
      <alignment horizontal="center" vertical="center"/>
    </xf>
    <xf numFmtId="164" fontId="4" fillId="0" borderId="13" xfId="0" applyNumberFormat="1" applyFont="1" applyBorder="1"/>
    <xf numFmtId="9" fontId="4" fillId="10" borderId="13" xfId="0" applyNumberFormat="1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vertical="center" wrapText="1"/>
    </xf>
    <xf numFmtId="164" fontId="4" fillId="0" borderId="13" xfId="0" applyNumberFormat="1" applyFont="1" applyBorder="1" applyAlignment="1">
      <alignment vertical="center"/>
    </xf>
    <xf numFmtId="166" fontId="4" fillId="0" borderId="13" xfId="0" applyNumberFormat="1" applyFont="1" applyBorder="1" applyAlignment="1">
      <alignment horizontal="center" vertical="center" wrapText="1"/>
    </xf>
    <xf numFmtId="166" fontId="4" fillId="10" borderId="13" xfId="0" applyNumberFormat="1" applyFont="1" applyFill="1" applyBorder="1" applyAlignment="1">
      <alignment horizontal="center" vertical="center"/>
    </xf>
    <xf numFmtId="3" fontId="4" fillId="10" borderId="13" xfId="0" applyNumberFormat="1" applyFont="1" applyFill="1" applyBorder="1" applyAlignment="1">
      <alignment horizontal="center" vertical="center" wrapText="1"/>
    </xf>
    <xf numFmtId="9" fontId="4" fillId="4" borderId="13" xfId="0" applyNumberFormat="1" applyFont="1" applyFill="1" applyBorder="1" applyAlignment="1">
      <alignment horizontal="center" vertical="center" wrapText="1"/>
    </xf>
    <xf numFmtId="167" fontId="4" fillId="4" borderId="13" xfId="0" applyNumberFormat="1" applyFont="1" applyFill="1" applyBorder="1" applyAlignment="1">
      <alignment horizontal="center" vertical="center"/>
    </xf>
    <xf numFmtId="3" fontId="4" fillId="4" borderId="13" xfId="0" applyNumberFormat="1" applyFont="1" applyFill="1" applyBorder="1" applyAlignment="1">
      <alignment horizontal="center" vertical="center"/>
    </xf>
    <xf numFmtId="167" fontId="4" fillId="10" borderId="13" xfId="0" applyNumberFormat="1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14" fontId="4" fillId="4" borderId="17" xfId="0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165" fontId="4" fillId="10" borderId="13" xfId="0" applyNumberFormat="1" applyFont="1" applyFill="1" applyBorder="1" applyAlignment="1">
      <alignment vertical="center" wrapText="1"/>
    </xf>
    <xf numFmtId="164" fontId="4" fillId="0" borderId="13" xfId="0" applyNumberFormat="1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4" fillId="9" borderId="13" xfId="0" applyFont="1" applyFill="1" applyBorder="1" applyAlignment="1">
      <alignment horizontal="center" vertical="center" wrapText="1"/>
    </xf>
    <xf numFmtId="167" fontId="4" fillId="10" borderId="13" xfId="0" applyNumberFormat="1" applyFont="1" applyFill="1" applyBorder="1" applyAlignment="1">
      <alignment horizontal="center" vertical="center" wrapText="1"/>
    </xf>
    <xf numFmtId="164" fontId="4" fillId="0" borderId="13" xfId="0" applyNumberFormat="1" applyFont="1" applyBorder="1" applyAlignment="1">
      <alignment horizontal="left" vertical="center"/>
    </xf>
    <xf numFmtId="14" fontId="4" fillId="0" borderId="13" xfId="0" applyNumberFormat="1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165" fontId="4" fillId="0" borderId="13" xfId="0" applyNumberFormat="1" applyFont="1" applyBorder="1" applyAlignment="1">
      <alignment horizontal="left" vertical="center"/>
    </xf>
    <xf numFmtId="14" fontId="4" fillId="4" borderId="13" xfId="0" applyNumberFormat="1" applyFont="1" applyFill="1" applyBorder="1" applyAlignment="1">
      <alignment horizontal="left" vertical="center"/>
    </xf>
    <xf numFmtId="0" fontId="4" fillId="4" borderId="13" xfId="0" applyFont="1" applyFill="1" applyBorder="1" applyAlignment="1">
      <alignment horizontal="left" vertical="center"/>
    </xf>
    <xf numFmtId="9" fontId="4" fillId="10" borderId="13" xfId="0" applyNumberFormat="1" applyFont="1" applyFill="1" applyBorder="1" applyAlignment="1">
      <alignment horizontal="center" vertical="center"/>
    </xf>
    <xf numFmtId="3" fontId="4" fillId="0" borderId="13" xfId="0" applyNumberFormat="1" applyFont="1" applyBorder="1" applyAlignment="1">
      <alignment horizontal="left" vertical="center"/>
    </xf>
    <xf numFmtId="3" fontId="4" fillId="0" borderId="12" xfId="0" applyNumberFormat="1" applyFont="1" applyBorder="1" applyAlignment="1">
      <alignment horizontal="center" vertical="center"/>
    </xf>
    <xf numFmtId="9" fontId="4" fillId="4" borderId="13" xfId="0" applyNumberFormat="1" applyFont="1" applyFill="1" applyBorder="1" applyAlignment="1">
      <alignment horizontal="center" vertical="center"/>
    </xf>
    <xf numFmtId="165" fontId="4" fillId="10" borderId="13" xfId="0" applyNumberFormat="1" applyFont="1" applyFill="1" applyBorder="1" applyAlignment="1">
      <alignment horizontal="center" vertical="center"/>
    </xf>
    <xf numFmtId="0" fontId="4" fillId="9" borderId="12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left" vertical="center" wrapText="1"/>
    </xf>
    <xf numFmtId="165" fontId="4" fillId="0" borderId="13" xfId="0" applyNumberFormat="1" applyFont="1" applyBorder="1" applyAlignment="1">
      <alignment vertical="center"/>
    </xf>
    <xf numFmtId="3" fontId="4" fillId="0" borderId="13" xfId="0" applyNumberFormat="1" applyFont="1" applyBorder="1"/>
    <xf numFmtId="9" fontId="4" fillId="0" borderId="13" xfId="0" applyNumberFormat="1" applyFont="1" applyBorder="1" applyAlignment="1">
      <alignment horizontal="center" vertical="center"/>
    </xf>
    <xf numFmtId="0" fontId="6" fillId="0" borderId="13" xfId="0" applyFont="1" applyBorder="1"/>
    <xf numFmtId="0" fontId="7" fillId="0" borderId="13" xfId="0" applyFont="1" applyBorder="1" applyAlignment="1">
      <alignment horizontal="left" vertical="center" wrapText="1"/>
    </xf>
    <xf numFmtId="164" fontId="7" fillId="0" borderId="13" xfId="0" applyNumberFormat="1" applyFont="1" applyBorder="1" applyAlignment="1">
      <alignment horizontal="center" vertical="center"/>
    </xf>
    <xf numFmtId="3" fontId="7" fillId="0" borderId="13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9" fontId="7" fillId="0" borderId="13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0" fontId="0" fillId="0" borderId="0" xfId="0" applyFont="1"/>
    <xf numFmtId="0" fontId="1" fillId="3" borderId="2" xfId="0" applyFont="1" applyFill="1" applyBorder="1" applyAlignment="1">
      <alignment horizontal="center" vertical="center" wrapText="1"/>
    </xf>
    <xf numFmtId="0" fontId="8" fillId="0" borderId="2" xfId="0" applyFont="1" applyBorder="1"/>
    <xf numFmtId="0" fontId="1" fillId="3" borderId="3" xfId="0" applyFont="1" applyFill="1" applyBorder="1" applyAlignment="1">
      <alignment horizontal="center" vertical="center" wrapText="1"/>
    </xf>
    <xf numFmtId="0" fontId="8" fillId="0" borderId="5" xfId="0" applyFont="1" applyBorder="1"/>
    <xf numFmtId="10" fontId="1" fillId="7" borderId="0" xfId="0" applyNumberFormat="1" applyFont="1" applyFill="1" applyAlignment="1">
      <alignment horizontal="center" vertical="center"/>
    </xf>
    <xf numFmtId="0" fontId="1" fillId="8" borderId="2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8" fillId="0" borderId="4" xfId="0" applyFont="1" applyBorder="1"/>
    <xf numFmtId="0" fontId="1" fillId="3" borderId="8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8" fillId="0" borderId="7" xfId="0" applyFont="1" applyBorder="1"/>
    <xf numFmtId="3" fontId="1" fillId="4" borderId="1" xfId="0" applyNumberFormat="1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8" fillId="0" borderId="9" xfId="0" applyFont="1" applyBorder="1"/>
    <xf numFmtId="0" fontId="8" fillId="0" borderId="10" xfId="0" applyFont="1" applyBorder="1"/>
    <xf numFmtId="0" fontId="8" fillId="0" borderId="11" xfId="0" applyFont="1" applyBorder="1"/>
    <xf numFmtId="0" fontId="8" fillId="0" borderId="14" xfId="0" applyFont="1" applyBorder="1"/>
    <xf numFmtId="0" fontId="1" fillId="2" borderId="13" xfId="0" applyFont="1" applyFill="1" applyBorder="1" applyAlignment="1">
      <alignment horizontal="center" vertical="center"/>
    </xf>
    <xf numFmtId="0" fontId="1" fillId="11" borderId="12" xfId="0" applyFont="1" applyFill="1" applyBorder="1" applyAlignment="1">
      <alignment horizontal="center" vertical="center"/>
    </xf>
    <xf numFmtId="0" fontId="8" fillId="0" borderId="15" xfId="0" applyFont="1" applyBorder="1"/>
    <xf numFmtId="165" fontId="4" fillId="10" borderId="13" xfId="0" applyNumberFormat="1" applyFont="1" applyFill="1" applyBorder="1" applyAlignment="1">
      <alignment horizontal="left" vertical="center"/>
    </xf>
    <xf numFmtId="0" fontId="1" fillId="11" borderId="12" xfId="0" applyFont="1" applyFill="1" applyBorder="1" applyAlignment="1">
      <alignment horizontal="center" vertical="center" wrapText="1"/>
    </xf>
    <xf numFmtId="165" fontId="4" fillId="2" borderId="13" xfId="0" applyNumberFormat="1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left" vertical="center" wrapText="1"/>
    </xf>
    <xf numFmtId="165" fontId="4" fillId="10" borderId="13" xfId="0" applyNumberFormat="1" applyFont="1" applyFill="1" applyBorder="1" applyAlignment="1">
      <alignment horizontal="left" vertical="center" wrapText="1"/>
    </xf>
    <xf numFmtId="165" fontId="4" fillId="9" borderId="16" xfId="0" applyNumberFormat="1" applyFont="1" applyFill="1" applyBorder="1" applyAlignment="1">
      <alignment horizontal="left" vertical="center" wrapText="1"/>
    </xf>
    <xf numFmtId="0" fontId="8" fillId="0" borderId="17" xfId="0" applyFont="1" applyBorder="1"/>
    <xf numFmtId="0" fontId="1" fillId="1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3" fontId="9" fillId="10" borderId="13" xfId="0" applyNumberFormat="1" applyFont="1" applyFill="1" applyBorder="1" applyAlignment="1">
      <alignment horizontal="center" vertical="center" wrapText="1"/>
    </xf>
    <xf numFmtId="165" fontId="4" fillId="10" borderId="16" xfId="0" applyNumberFormat="1" applyFont="1" applyFill="1" applyBorder="1" applyAlignment="1">
      <alignment horizontal="left" vertical="center" wrapText="1"/>
    </xf>
    <xf numFmtId="0" fontId="1" fillId="13" borderId="12" xfId="0" applyFont="1" applyFill="1" applyBorder="1" applyAlignment="1">
      <alignment horizontal="center" vertical="center" wrapText="1"/>
    </xf>
    <xf numFmtId="165" fontId="4" fillId="14" borderId="16" xfId="0" applyNumberFormat="1" applyFont="1" applyFill="1" applyBorder="1" applyAlignment="1">
      <alignment horizontal="left" vertical="center" wrapText="1"/>
    </xf>
    <xf numFmtId="0" fontId="1" fillId="13" borderId="13" xfId="0" applyFont="1" applyFill="1" applyBorder="1" applyAlignment="1">
      <alignment horizontal="center" vertical="center" wrapText="1"/>
    </xf>
    <xf numFmtId="165" fontId="4" fillId="14" borderId="13" xfId="0" applyNumberFormat="1" applyFont="1" applyFill="1" applyBorder="1" applyAlignment="1">
      <alignment horizontal="left" vertical="center" wrapText="1"/>
    </xf>
    <xf numFmtId="0" fontId="4" fillId="14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43A46-AE9C-47E0-9CF9-D420A13A91EB}">
  <dimension ref="A1:AD75"/>
  <sheetViews>
    <sheetView tabSelected="1" topLeftCell="B49" zoomScale="83" workbookViewId="0">
      <selection activeCell="O70" sqref="O70"/>
    </sheetView>
  </sheetViews>
  <sheetFormatPr defaultRowHeight="14.4"/>
  <cols>
    <col min="1" max="1" width="8.88671875" style="123"/>
    <col min="2" max="3" width="9" style="123" bestFit="1" customWidth="1"/>
    <col min="4" max="4" width="8.88671875" style="123"/>
    <col min="5" max="5" width="12.6640625" style="123" bestFit="1" customWidth="1"/>
    <col min="6" max="6" width="12.88671875" style="123" bestFit="1" customWidth="1"/>
    <col min="7" max="7" width="14.33203125" style="123" bestFit="1" customWidth="1"/>
    <col min="8" max="10" width="8.88671875" style="123"/>
    <col min="11" max="11" width="12.88671875" style="123" bestFit="1" customWidth="1"/>
    <col min="12" max="12" width="13.21875" style="123" bestFit="1" customWidth="1"/>
    <col min="13" max="13" width="9" style="123" bestFit="1" customWidth="1"/>
    <col min="14" max="14" width="8.88671875" style="123"/>
    <col min="15" max="15" width="12.88671875" style="123" bestFit="1" customWidth="1"/>
    <col min="16" max="16" width="8.88671875" style="123"/>
    <col min="17" max="18" width="13.21875" style="123" bestFit="1" customWidth="1"/>
    <col min="19" max="19" width="9" style="123" bestFit="1" customWidth="1"/>
    <col min="20" max="20" width="14.33203125" style="123" bestFit="1" customWidth="1"/>
    <col min="21" max="21" width="8.88671875" style="123"/>
    <col min="22" max="22" width="13.21875" style="123" bestFit="1" customWidth="1"/>
    <col min="23" max="24" width="12.88671875" style="123" bestFit="1" customWidth="1"/>
    <col min="25" max="27" width="9" style="123" bestFit="1" customWidth="1"/>
    <col min="28" max="28" width="8.88671875" style="123"/>
    <col min="29" max="29" width="12.88671875" style="123" bestFit="1" customWidth="1"/>
    <col min="30" max="30" width="9" style="123" bestFit="1" customWidth="1"/>
    <col min="31" max="16384" width="8.88671875" style="123"/>
  </cols>
  <sheetData>
    <row r="1" spans="1:30">
      <c r="A1" s="1" t="s">
        <v>0</v>
      </c>
      <c r="B1" s="1"/>
      <c r="C1" s="1"/>
      <c r="D1" s="1"/>
      <c r="E1" s="122">
        <v>46096</v>
      </c>
      <c r="F1" s="1"/>
      <c r="G1" s="2"/>
      <c r="H1" s="2"/>
      <c r="I1" s="2"/>
      <c r="J1" s="2"/>
      <c r="K1" s="3"/>
      <c r="L1" s="2"/>
      <c r="M1" s="2"/>
      <c r="N1" s="2"/>
      <c r="O1" s="2"/>
      <c r="P1" s="2"/>
      <c r="Q1" s="2"/>
      <c r="R1" s="2"/>
      <c r="S1" s="4"/>
      <c r="T1" s="4"/>
      <c r="U1" s="2"/>
      <c r="V1" s="2"/>
      <c r="W1" s="2"/>
      <c r="X1" s="2"/>
      <c r="Y1" s="2"/>
      <c r="Z1" s="2"/>
      <c r="AA1" s="2"/>
      <c r="AB1" s="2"/>
      <c r="AC1" s="5"/>
      <c r="AD1" s="5"/>
    </row>
    <row r="2" spans="1:30">
      <c r="A2" s="6"/>
      <c r="B2" s="6"/>
      <c r="C2" s="6"/>
      <c r="D2" s="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4"/>
      <c r="T2" s="4"/>
      <c r="U2" s="2"/>
      <c r="V2" s="2"/>
      <c r="W2" s="2"/>
      <c r="X2" s="2"/>
      <c r="Y2" s="2"/>
      <c r="Z2" s="2"/>
      <c r="AA2" s="7"/>
      <c r="AB2" s="7"/>
      <c r="AC2" s="5"/>
      <c r="AD2" s="5"/>
    </row>
    <row r="3" spans="1:30" ht="27.6">
      <c r="A3" s="8" t="s">
        <v>1</v>
      </c>
      <c r="B3" s="9" t="s">
        <v>2</v>
      </c>
      <c r="C3" s="8" t="s">
        <v>2</v>
      </c>
      <c r="D3" s="8" t="s">
        <v>3</v>
      </c>
      <c r="E3" s="124" t="s">
        <v>4</v>
      </c>
      <c r="F3" s="125"/>
      <c r="G3" s="126">
        <v>22</v>
      </c>
      <c r="H3" s="10"/>
      <c r="I3" s="11"/>
      <c r="J3" s="11"/>
      <c r="K3" s="12" t="s">
        <v>5</v>
      </c>
      <c r="L3" s="127"/>
      <c r="M3" s="127"/>
      <c r="N3" s="127"/>
      <c r="O3" s="13">
        <v>11</v>
      </c>
      <c r="P3" s="10"/>
      <c r="Q3" s="14" t="s">
        <v>6</v>
      </c>
      <c r="R3" s="127"/>
      <c r="S3" s="127"/>
      <c r="T3" s="15">
        <v>8</v>
      </c>
      <c r="U3" s="16"/>
      <c r="V3" s="17" t="s">
        <v>7</v>
      </c>
      <c r="W3" s="127"/>
      <c r="X3" s="127"/>
      <c r="Y3" s="127"/>
      <c r="Z3" s="18">
        <v>11</v>
      </c>
      <c r="AA3" s="128">
        <f>21/42</f>
        <v>0.5</v>
      </c>
      <c r="AB3" s="19"/>
      <c r="AC3" s="129" t="s">
        <v>8</v>
      </c>
      <c r="AD3" s="130">
        <v>4</v>
      </c>
    </row>
    <row r="4" spans="1:30">
      <c r="A4" s="131"/>
      <c r="B4" s="131"/>
      <c r="C4" s="131"/>
      <c r="D4" s="131"/>
      <c r="E4" s="132" t="s">
        <v>9</v>
      </c>
      <c r="F4" s="133" t="s">
        <v>10</v>
      </c>
      <c r="G4" s="134" t="s">
        <v>11</v>
      </c>
      <c r="H4" s="20"/>
      <c r="I4" s="21"/>
      <c r="J4" s="135"/>
      <c r="K4" s="22" t="s">
        <v>12</v>
      </c>
      <c r="L4" s="22" t="s">
        <v>13</v>
      </c>
      <c r="M4" s="136" t="s">
        <v>14</v>
      </c>
      <c r="N4" s="22" t="s">
        <v>9</v>
      </c>
      <c r="O4" s="22" t="s">
        <v>15</v>
      </c>
      <c r="P4" s="10"/>
      <c r="Q4" s="23" t="s">
        <v>16</v>
      </c>
      <c r="R4" s="23" t="s">
        <v>17</v>
      </c>
      <c r="S4" s="136" t="s">
        <v>14</v>
      </c>
      <c r="T4" s="24" t="s">
        <v>18</v>
      </c>
      <c r="U4" s="25"/>
      <c r="V4" s="26" t="s">
        <v>19</v>
      </c>
      <c r="W4" s="27" t="s">
        <v>20</v>
      </c>
      <c r="X4" s="27" t="s">
        <v>21</v>
      </c>
      <c r="Y4" s="136" t="s">
        <v>22</v>
      </c>
      <c r="Z4" s="27" t="s">
        <v>23</v>
      </c>
      <c r="AA4" s="27" t="s">
        <v>24</v>
      </c>
      <c r="AB4" s="19"/>
      <c r="AC4" s="137" t="s">
        <v>25</v>
      </c>
      <c r="AD4" s="138" t="s">
        <v>26</v>
      </c>
    </row>
    <row r="5" spans="1:30">
      <c r="A5" s="139"/>
      <c r="B5" s="139"/>
      <c r="C5" s="139"/>
      <c r="D5" s="139"/>
      <c r="E5" s="140"/>
      <c r="F5" s="139"/>
      <c r="G5" s="140"/>
      <c r="H5" s="20"/>
      <c r="I5" s="28"/>
      <c r="J5" s="29"/>
      <c r="K5" s="139"/>
      <c r="L5" s="139"/>
      <c r="M5" s="139"/>
      <c r="N5" s="139"/>
      <c r="O5" s="139"/>
      <c r="P5" s="30"/>
      <c r="Q5" s="139"/>
      <c r="R5" s="139"/>
      <c r="S5" s="139"/>
      <c r="T5" s="139"/>
      <c r="U5" s="25"/>
      <c r="V5" s="141"/>
      <c r="W5" s="139"/>
      <c r="X5" s="139"/>
      <c r="Y5" s="139"/>
      <c r="Z5" s="139"/>
      <c r="AA5" s="139"/>
      <c r="AB5" s="19"/>
      <c r="AC5" s="139"/>
      <c r="AD5" s="140"/>
    </row>
    <row r="6" spans="1:30">
      <c r="A6" s="31"/>
      <c r="B6" s="32"/>
      <c r="C6" s="32"/>
      <c r="D6" s="32"/>
      <c r="E6" s="33"/>
      <c r="F6" s="33"/>
      <c r="G6" s="33"/>
      <c r="H6" s="34"/>
      <c r="I6" s="33"/>
      <c r="J6" s="33"/>
      <c r="K6" s="33"/>
      <c r="L6" s="33"/>
      <c r="M6" s="33"/>
      <c r="N6" s="33"/>
      <c r="O6" s="35"/>
      <c r="P6" s="35"/>
      <c r="Q6" s="33"/>
      <c r="R6" s="33"/>
      <c r="S6" s="36"/>
      <c r="T6" s="36"/>
      <c r="U6" s="37"/>
      <c r="V6" s="33"/>
      <c r="W6" s="33"/>
      <c r="X6" s="33"/>
      <c r="Y6" s="33"/>
      <c r="Z6" s="33"/>
      <c r="AA6" s="37"/>
      <c r="AB6" s="19"/>
      <c r="AC6" s="33"/>
      <c r="AD6" s="33"/>
    </row>
    <row r="7" spans="1:30" ht="82.8">
      <c r="A7" s="38" t="s">
        <v>27</v>
      </c>
      <c r="B7" s="39">
        <v>1</v>
      </c>
      <c r="C7" s="40">
        <v>1</v>
      </c>
      <c r="D7" s="41" t="s">
        <v>28</v>
      </c>
      <c r="E7" s="42" t="s">
        <v>29</v>
      </c>
      <c r="F7" s="43">
        <v>46027</v>
      </c>
      <c r="G7" s="44"/>
      <c r="H7" s="45"/>
      <c r="I7" s="46"/>
      <c r="J7" s="47"/>
      <c r="K7" s="48"/>
      <c r="L7" s="48"/>
      <c r="M7" s="46"/>
      <c r="N7" s="46"/>
      <c r="O7" s="45"/>
      <c r="P7" s="45"/>
      <c r="Q7" s="47"/>
      <c r="R7" s="43">
        <v>46043</v>
      </c>
      <c r="S7" s="44"/>
      <c r="T7" s="44">
        <v>345696200</v>
      </c>
      <c r="U7" s="45"/>
      <c r="V7" s="49">
        <v>46041</v>
      </c>
      <c r="W7" s="49">
        <v>46074</v>
      </c>
      <c r="X7" s="49">
        <v>46070</v>
      </c>
      <c r="Y7" s="50" t="s">
        <v>30</v>
      </c>
      <c r="Z7" s="40" t="s">
        <v>31</v>
      </c>
      <c r="AA7" s="41"/>
      <c r="AB7" s="51"/>
      <c r="AC7" s="52">
        <f>X7</f>
        <v>46070</v>
      </c>
      <c r="AD7" s="53"/>
    </row>
    <row r="8" spans="1:30" ht="82.8">
      <c r="A8" s="142"/>
      <c r="B8" s="39"/>
      <c r="C8" s="40">
        <f>C7+1</f>
        <v>2</v>
      </c>
      <c r="D8" s="41" t="s">
        <v>32</v>
      </c>
      <c r="E8" s="42" t="s">
        <v>33</v>
      </c>
      <c r="F8" s="43">
        <v>46077</v>
      </c>
      <c r="G8" s="44"/>
      <c r="H8" s="45"/>
      <c r="I8" s="46"/>
      <c r="J8" s="47"/>
      <c r="K8" s="48"/>
      <c r="L8" s="48"/>
      <c r="M8" s="46"/>
      <c r="N8" s="46"/>
      <c r="O8" s="45"/>
      <c r="P8" s="45"/>
      <c r="Q8" s="43"/>
      <c r="R8" s="47"/>
      <c r="S8" s="44"/>
      <c r="T8" s="44"/>
      <c r="U8" s="45"/>
      <c r="V8" s="54">
        <v>46078</v>
      </c>
      <c r="W8" s="54">
        <v>46126</v>
      </c>
      <c r="X8" s="54"/>
      <c r="Y8" s="55">
        <f>W8-E1</f>
        <v>30</v>
      </c>
      <c r="Z8" s="55" t="s">
        <v>34</v>
      </c>
      <c r="AA8" s="41"/>
      <c r="AB8" s="51"/>
      <c r="AC8" s="43"/>
      <c r="AD8" s="53"/>
    </row>
    <row r="9" spans="1:30">
      <c r="A9" s="143"/>
      <c r="B9" s="39"/>
      <c r="C9" s="41"/>
      <c r="D9" s="41"/>
      <c r="E9" s="102"/>
      <c r="F9" s="47"/>
      <c r="G9" s="44"/>
      <c r="H9" s="45"/>
      <c r="I9" s="46"/>
      <c r="J9" s="47"/>
      <c r="K9" s="48"/>
      <c r="L9" s="48"/>
      <c r="M9" s="46"/>
      <c r="N9" s="46"/>
      <c r="O9" s="45"/>
      <c r="P9" s="45"/>
      <c r="Q9" s="43"/>
      <c r="R9" s="47"/>
      <c r="S9" s="44"/>
      <c r="T9" s="44"/>
      <c r="U9" s="45"/>
      <c r="V9" s="43"/>
      <c r="W9" s="43"/>
      <c r="X9" s="43"/>
      <c r="Y9" s="56"/>
      <c r="Z9" s="56"/>
      <c r="AA9" s="41"/>
      <c r="AB9" s="51"/>
      <c r="AC9" s="43"/>
      <c r="AD9" s="53"/>
    </row>
    <row r="10" spans="1:30" ht="151.80000000000001">
      <c r="A10" s="144" t="s">
        <v>35</v>
      </c>
      <c r="B10" s="39"/>
      <c r="C10" s="39">
        <f>C8+1</f>
        <v>3</v>
      </c>
      <c r="D10" s="41" t="s">
        <v>36</v>
      </c>
      <c r="E10" s="42" t="s">
        <v>37</v>
      </c>
      <c r="F10" s="43">
        <v>46065</v>
      </c>
      <c r="G10" s="44">
        <v>1558900000</v>
      </c>
      <c r="H10" s="45"/>
      <c r="I10" s="46"/>
      <c r="J10" s="47"/>
      <c r="K10" s="54">
        <v>46082</v>
      </c>
      <c r="L10" s="52">
        <f>K10+31</f>
        <v>46113</v>
      </c>
      <c r="M10" s="55">
        <f>L10-E1</f>
        <v>17</v>
      </c>
      <c r="N10" s="55" t="s">
        <v>38</v>
      </c>
      <c r="O10" s="45"/>
      <c r="P10" s="45"/>
      <c r="Q10" s="43"/>
      <c r="R10" s="47"/>
      <c r="S10" s="44"/>
      <c r="T10" s="44"/>
      <c r="U10" s="45"/>
      <c r="V10" s="43"/>
      <c r="W10" s="43"/>
      <c r="X10" s="57"/>
      <c r="Y10" s="43"/>
      <c r="Z10" s="56"/>
      <c r="AA10" s="41"/>
      <c r="AB10" s="51"/>
      <c r="AC10" s="43"/>
      <c r="AD10" s="53"/>
    </row>
    <row r="11" spans="1:30" ht="151.80000000000001">
      <c r="A11" s="145"/>
      <c r="B11" s="39" t="e">
        <f>#REF!+1</f>
        <v>#REF!</v>
      </c>
      <c r="C11" s="39">
        <f t="shared" ref="C11:C12" si="0">C10+1</f>
        <v>4</v>
      </c>
      <c r="D11" s="41" t="s">
        <v>39</v>
      </c>
      <c r="E11" s="146"/>
      <c r="F11" s="55" t="s">
        <v>40</v>
      </c>
      <c r="G11" s="44">
        <v>101640000</v>
      </c>
      <c r="H11" s="45"/>
      <c r="I11" s="46"/>
      <c r="J11" s="47"/>
      <c r="K11" s="48"/>
      <c r="L11" s="48"/>
      <c r="M11" s="39"/>
      <c r="N11" s="39"/>
      <c r="O11" s="45"/>
      <c r="P11" s="45"/>
      <c r="Q11" s="43"/>
      <c r="R11" s="47"/>
      <c r="S11" s="44"/>
      <c r="T11" s="44"/>
      <c r="U11" s="46"/>
      <c r="V11" s="43"/>
      <c r="W11" s="48"/>
      <c r="X11" s="48"/>
      <c r="Y11" s="56"/>
      <c r="Z11" s="56"/>
      <c r="AA11" s="39"/>
      <c r="AB11" s="51"/>
      <c r="AC11" s="43"/>
      <c r="AD11" s="53"/>
    </row>
    <row r="12" spans="1:30" ht="55.2">
      <c r="A12" s="142"/>
      <c r="B12" s="39"/>
      <c r="C12" s="39">
        <f t="shared" si="0"/>
        <v>5</v>
      </c>
      <c r="D12" s="41" t="s">
        <v>41</v>
      </c>
      <c r="E12" s="146"/>
      <c r="F12" s="55" t="s">
        <v>40</v>
      </c>
      <c r="G12" s="44">
        <v>500000000</v>
      </c>
      <c r="H12" s="45"/>
      <c r="I12" s="46"/>
      <c r="J12" s="47"/>
      <c r="K12" s="48"/>
      <c r="L12" s="48"/>
      <c r="M12" s="39"/>
      <c r="N12" s="39"/>
      <c r="O12" s="45"/>
      <c r="P12" s="45"/>
      <c r="Q12" s="43"/>
      <c r="R12" s="47"/>
      <c r="S12" s="44"/>
      <c r="T12" s="44"/>
      <c r="U12" s="46"/>
      <c r="V12" s="48"/>
      <c r="W12" s="48"/>
      <c r="X12" s="48"/>
      <c r="Y12" s="56"/>
      <c r="Z12" s="56"/>
      <c r="AA12" s="41"/>
      <c r="AB12" s="51"/>
      <c r="AC12" s="43"/>
      <c r="AD12" s="53"/>
    </row>
    <row r="13" spans="1:30">
      <c r="A13" s="58"/>
      <c r="B13" s="41"/>
      <c r="C13" s="41"/>
      <c r="D13" s="41"/>
      <c r="E13" s="42"/>
      <c r="F13" s="48"/>
      <c r="G13" s="53"/>
      <c r="H13" s="45"/>
      <c r="I13" s="45"/>
      <c r="J13" s="47"/>
      <c r="K13" s="48"/>
      <c r="L13" s="43"/>
      <c r="M13" s="41"/>
      <c r="N13" s="41"/>
      <c r="O13" s="45"/>
      <c r="P13" s="45"/>
      <c r="Q13" s="48"/>
      <c r="R13" s="48"/>
      <c r="S13" s="44"/>
      <c r="T13" s="44"/>
      <c r="U13" s="46"/>
      <c r="V13" s="48"/>
      <c r="W13" s="48"/>
      <c r="X13" s="48"/>
      <c r="Y13" s="39"/>
      <c r="Z13" s="39"/>
      <c r="AA13" s="47"/>
      <c r="AB13" s="51"/>
      <c r="AC13" s="48"/>
      <c r="AD13" s="53"/>
    </row>
    <row r="14" spans="1:30" ht="82.8">
      <c r="A14" s="144" t="s">
        <v>42</v>
      </c>
      <c r="B14" s="39" t="e">
        <f>#REF!+1</f>
        <v>#REF!</v>
      </c>
      <c r="C14" s="110">
        <f>C12+1</f>
        <v>6</v>
      </c>
      <c r="D14" s="59" t="s">
        <v>43</v>
      </c>
      <c r="E14" s="60" t="s">
        <v>44</v>
      </c>
      <c r="F14" s="43">
        <v>46027</v>
      </c>
      <c r="G14" s="44">
        <v>156510000</v>
      </c>
      <c r="H14" s="45"/>
      <c r="I14" s="45"/>
      <c r="J14" s="47"/>
      <c r="K14" s="49"/>
      <c r="L14" s="61">
        <v>45714</v>
      </c>
      <c r="M14" s="40"/>
      <c r="N14" s="40" t="s">
        <v>45</v>
      </c>
      <c r="O14" s="45"/>
      <c r="P14" s="45"/>
      <c r="Q14" s="43">
        <v>45922</v>
      </c>
      <c r="R14" s="43">
        <v>45985</v>
      </c>
      <c r="S14" s="62"/>
      <c r="T14" s="62">
        <v>149850000</v>
      </c>
      <c r="U14" s="47"/>
      <c r="V14" s="49">
        <v>45995</v>
      </c>
      <c r="W14" s="49">
        <v>46050</v>
      </c>
      <c r="X14" s="63" t="s">
        <v>46</v>
      </c>
      <c r="Y14" s="40"/>
      <c r="Z14" s="40"/>
      <c r="AA14" s="47"/>
      <c r="AB14" s="51"/>
      <c r="AC14" s="48"/>
      <c r="AD14" s="53"/>
    </row>
    <row r="15" spans="1:30" ht="82.8">
      <c r="A15" s="145"/>
      <c r="B15" s="39"/>
      <c r="C15" s="142"/>
      <c r="D15" s="142"/>
      <c r="E15" s="42" t="s">
        <v>47</v>
      </c>
      <c r="F15" s="47"/>
      <c r="G15" s="44"/>
      <c r="H15" s="45"/>
      <c r="I15" s="45"/>
      <c r="J15" s="47"/>
      <c r="K15" s="48"/>
      <c r="L15" s="48"/>
      <c r="M15" s="47"/>
      <c r="N15" s="47"/>
      <c r="O15" s="45"/>
      <c r="P15" s="45"/>
      <c r="Q15" s="43"/>
      <c r="R15" s="47"/>
      <c r="S15" s="44"/>
      <c r="T15" s="44"/>
      <c r="U15" s="47"/>
      <c r="V15" s="54">
        <v>46118</v>
      </c>
      <c r="W15" s="54">
        <v>46148</v>
      </c>
      <c r="X15" s="64"/>
      <c r="Y15" s="55">
        <f>W15-E1</f>
        <v>52</v>
      </c>
      <c r="Z15" s="55"/>
      <c r="AA15" s="47"/>
      <c r="AB15" s="51"/>
      <c r="AC15" s="48"/>
      <c r="AD15" s="53"/>
    </row>
    <row r="16" spans="1:30" ht="248.4">
      <c r="A16" s="145"/>
      <c r="B16" s="39" t="e">
        <f t="shared" ref="B16:C16" si="1">B14+1</f>
        <v>#REF!</v>
      </c>
      <c r="C16" s="97">
        <f t="shared" si="1"/>
        <v>7</v>
      </c>
      <c r="D16" s="41" t="s">
        <v>48</v>
      </c>
      <c r="E16" s="64" t="s">
        <v>49</v>
      </c>
      <c r="F16" s="65">
        <v>2023</v>
      </c>
      <c r="G16" s="44">
        <v>1300000000</v>
      </c>
      <c r="H16" s="45"/>
      <c r="I16" s="45"/>
      <c r="J16" s="47"/>
      <c r="K16" s="48"/>
      <c r="L16" s="48"/>
      <c r="M16" s="47"/>
      <c r="N16" s="47"/>
      <c r="O16" s="45"/>
      <c r="P16" s="45"/>
      <c r="Q16" s="43"/>
      <c r="R16" s="47"/>
      <c r="S16" s="44"/>
      <c r="T16" s="44"/>
      <c r="U16" s="47"/>
      <c r="V16" s="48"/>
      <c r="W16" s="48"/>
      <c r="X16" s="48"/>
      <c r="Y16" s="56"/>
      <c r="Z16" s="56"/>
      <c r="AA16" s="47"/>
      <c r="AB16" s="51"/>
      <c r="AC16" s="48"/>
      <c r="AD16" s="53"/>
    </row>
    <row r="17" spans="1:30" ht="96.6">
      <c r="A17" s="145"/>
      <c r="B17" s="39" t="e">
        <f t="shared" ref="B17:C20" si="2">B16+1</f>
        <v>#REF!</v>
      </c>
      <c r="C17" s="39">
        <f t="shared" si="2"/>
        <v>8</v>
      </c>
      <c r="D17" s="41" t="s">
        <v>50</v>
      </c>
      <c r="E17" s="146"/>
      <c r="F17" s="55" t="s">
        <v>40</v>
      </c>
      <c r="G17" s="44">
        <v>30000000</v>
      </c>
      <c r="H17" s="45"/>
      <c r="I17" s="45"/>
      <c r="J17" s="47"/>
      <c r="K17" s="48"/>
      <c r="L17" s="48"/>
      <c r="M17" s="47"/>
      <c r="N17" s="47"/>
      <c r="O17" s="45"/>
      <c r="P17" s="45"/>
      <c r="Q17" s="43"/>
      <c r="R17" s="47"/>
      <c r="S17" s="44"/>
      <c r="T17" s="44"/>
      <c r="U17" s="47"/>
      <c r="V17" s="48"/>
      <c r="W17" s="48"/>
      <c r="X17" s="48"/>
      <c r="Y17" s="56"/>
      <c r="Z17" s="56"/>
      <c r="AA17" s="47"/>
      <c r="AB17" s="51"/>
      <c r="AC17" s="48"/>
      <c r="AD17" s="53"/>
    </row>
    <row r="18" spans="1:30" ht="55.2">
      <c r="A18" s="145"/>
      <c r="B18" s="39" t="e">
        <f t="shared" si="2"/>
        <v>#REF!</v>
      </c>
      <c r="C18" s="39">
        <f t="shared" si="2"/>
        <v>9</v>
      </c>
      <c r="D18" s="41" t="s">
        <v>51</v>
      </c>
      <c r="E18" s="41"/>
      <c r="F18" s="43">
        <v>46094</v>
      </c>
      <c r="G18" s="44">
        <v>100000000</v>
      </c>
      <c r="H18" s="45"/>
      <c r="I18" s="45"/>
      <c r="J18" s="47"/>
      <c r="K18" s="52">
        <v>46090</v>
      </c>
      <c r="L18" s="52">
        <f t="shared" ref="L18:L20" si="3">K18+31</f>
        <v>46121</v>
      </c>
      <c r="M18" s="55">
        <f>L18-E1</f>
        <v>25</v>
      </c>
      <c r="N18" s="65" t="s">
        <v>52</v>
      </c>
      <c r="O18" s="61">
        <f t="shared" ref="O18:O20" si="4">L18+21</f>
        <v>46142</v>
      </c>
      <c r="P18" s="45"/>
      <c r="Q18" s="43">
        <f t="shared" ref="Q18:Q20" si="5">O18</f>
        <v>46142</v>
      </c>
      <c r="R18" s="61">
        <f t="shared" ref="R18:R20" si="6">Q18+21</f>
        <v>46163</v>
      </c>
      <c r="S18" s="44">
        <f>R18-E1</f>
        <v>67</v>
      </c>
      <c r="T18" s="44"/>
      <c r="U18" s="47"/>
      <c r="V18" s="48"/>
      <c r="W18" s="48"/>
      <c r="X18" s="48"/>
      <c r="Y18" s="56"/>
      <c r="Z18" s="56"/>
      <c r="AA18" s="47"/>
      <c r="AB18" s="51"/>
      <c r="AC18" s="48"/>
      <c r="AD18" s="53"/>
    </row>
    <row r="19" spans="1:30" ht="55.2">
      <c r="A19" s="145"/>
      <c r="B19" s="39"/>
      <c r="C19" s="39">
        <f t="shared" si="2"/>
        <v>10</v>
      </c>
      <c r="D19" s="41" t="s">
        <v>53</v>
      </c>
      <c r="E19" s="41"/>
      <c r="F19" s="40" t="s">
        <v>40</v>
      </c>
      <c r="G19" s="44">
        <v>200000000</v>
      </c>
      <c r="H19" s="45"/>
      <c r="I19" s="45"/>
      <c r="J19" s="47"/>
      <c r="K19" s="52">
        <v>46090</v>
      </c>
      <c r="L19" s="52">
        <f t="shared" si="3"/>
        <v>46121</v>
      </c>
      <c r="M19" s="65">
        <f>L19-E1</f>
        <v>25</v>
      </c>
      <c r="N19" s="65" t="s">
        <v>52</v>
      </c>
      <c r="O19" s="61">
        <f t="shared" si="4"/>
        <v>46142</v>
      </c>
      <c r="P19" s="45"/>
      <c r="Q19" s="43">
        <f t="shared" si="5"/>
        <v>46142</v>
      </c>
      <c r="R19" s="61">
        <f t="shared" si="6"/>
        <v>46163</v>
      </c>
      <c r="S19" s="44">
        <f>R19-E1</f>
        <v>67</v>
      </c>
      <c r="T19" s="44"/>
      <c r="U19" s="47"/>
      <c r="V19" s="48"/>
      <c r="W19" s="48"/>
      <c r="X19" s="48"/>
      <c r="Y19" s="56"/>
      <c r="Z19" s="56"/>
      <c r="AA19" s="47"/>
      <c r="AB19" s="51"/>
      <c r="AC19" s="48"/>
      <c r="AD19" s="53"/>
    </row>
    <row r="20" spans="1:30" ht="96.6">
      <c r="A20" s="142"/>
      <c r="B20" s="66"/>
      <c r="C20" s="39">
        <f t="shared" si="2"/>
        <v>11</v>
      </c>
      <c r="D20" s="66" t="s">
        <v>54</v>
      </c>
      <c r="E20" s="67" t="s">
        <v>55</v>
      </c>
      <c r="F20" s="48"/>
      <c r="G20" s="44">
        <v>1500000000</v>
      </c>
      <c r="H20" s="46"/>
      <c r="I20" s="46"/>
      <c r="J20" s="47"/>
      <c r="K20" s="52">
        <v>46090</v>
      </c>
      <c r="L20" s="52">
        <f t="shared" si="3"/>
        <v>46121</v>
      </c>
      <c r="M20" s="65">
        <f>L20-E1</f>
        <v>25</v>
      </c>
      <c r="N20" s="55" t="s">
        <v>56</v>
      </c>
      <c r="O20" s="61">
        <f t="shared" si="4"/>
        <v>46142</v>
      </c>
      <c r="P20" s="45"/>
      <c r="Q20" s="43">
        <f t="shared" si="5"/>
        <v>46142</v>
      </c>
      <c r="R20" s="61">
        <f t="shared" si="6"/>
        <v>46163</v>
      </c>
      <c r="S20" s="44">
        <f>R20-E1</f>
        <v>67</v>
      </c>
      <c r="T20" s="44"/>
      <c r="U20" s="45"/>
      <c r="V20" s="48"/>
      <c r="W20" s="48"/>
      <c r="X20" s="48"/>
      <c r="Y20" s="56"/>
      <c r="Z20" s="56"/>
      <c r="AA20" s="41"/>
      <c r="AB20" s="51"/>
      <c r="AC20" s="48"/>
      <c r="AD20" s="44"/>
    </row>
    <row r="21" spans="1:30">
      <c r="A21" s="68"/>
      <c r="B21" s="66"/>
      <c r="C21" s="66"/>
      <c r="D21" s="66"/>
      <c r="E21" s="67"/>
      <c r="F21" s="48"/>
      <c r="G21" s="44"/>
      <c r="H21" s="46"/>
      <c r="I21" s="46"/>
      <c r="J21" s="47"/>
      <c r="K21" s="39"/>
      <c r="L21" s="39"/>
      <c r="M21" s="39"/>
      <c r="N21" s="39"/>
      <c r="O21" s="69"/>
      <c r="P21" s="45"/>
      <c r="Q21" s="43"/>
      <c r="R21" s="47"/>
      <c r="S21" s="44"/>
      <c r="T21" s="44"/>
      <c r="U21" s="45"/>
      <c r="V21" s="48"/>
      <c r="W21" s="48"/>
      <c r="X21" s="48"/>
      <c r="Y21" s="56"/>
      <c r="Z21" s="56"/>
      <c r="AA21" s="41"/>
      <c r="AB21" s="51"/>
      <c r="AC21" s="48"/>
      <c r="AD21" s="44"/>
    </row>
    <row r="22" spans="1:30" ht="41.4">
      <c r="A22" s="147" t="s">
        <v>57</v>
      </c>
      <c r="B22" s="55" t="e">
        <f>#REF!+1</f>
        <v>#REF!</v>
      </c>
      <c r="C22" s="39"/>
      <c r="D22" s="63" t="s">
        <v>58</v>
      </c>
      <c r="E22" s="70" t="s">
        <v>59</v>
      </c>
      <c r="F22" s="49">
        <v>46000</v>
      </c>
      <c r="G22" s="62"/>
      <c r="H22" s="46"/>
      <c r="I22" s="46"/>
      <c r="J22" s="39"/>
      <c r="K22" s="48"/>
      <c r="L22" s="48"/>
      <c r="M22" s="47"/>
      <c r="N22" s="47"/>
      <c r="O22" s="71"/>
      <c r="P22" s="46"/>
      <c r="Q22" s="72" t="str">
        <f>E22</f>
        <v>cancelled by GM</v>
      </c>
      <c r="R22" s="73"/>
      <c r="S22" s="74"/>
      <c r="T22" s="74"/>
      <c r="U22" s="46"/>
      <c r="V22" s="48"/>
      <c r="W22" s="48"/>
      <c r="X22" s="48"/>
      <c r="Y22" s="39"/>
      <c r="Z22" s="39"/>
      <c r="AA22" s="41"/>
      <c r="AB22" s="51"/>
      <c r="AC22" s="48"/>
      <c r="AD22" s="53"/>
    </row>
    <row r="23" spans="1:30" ht="41.4">
      <c r="A23" s="142"/>
      <c r="B23" s="66"/>
      <c r="C23" s="39">
        <f>C20+1</f>
        <v>12</v>
      </c>
      <c r="D23" s="66" t="s">
        <v>60</v>
      </c>
      <c r="E23" s="148" t="s">
        <v>61</v>
      </c>
      <c r="F23" s="47"/>
      <c r="G23" s="44">
        <v>760000000</v>
      </c>
      <c r="H23" s="46"/>
      <c r="I23" s="46"/>
      <c r="J23" s="47"/>
      <c r="K23" s="52">
        <v>46118</v>
      </c>
      <c r="L23" s="52">
        <f>K23+31</f>
        <v>46149</v>
      </c>
      <c r="M23" s="65">
        <f>L23-E1</f>
        <v>53</v>
      </c>
      <c r="N23" s="65" t="s">
        <v>52</v>
      </c>
      <c r="O23" s="61">
        <f>L23+21</f>
        <v>46170</v>
      </c>
      <c r="P23" s="45"/>
      <c r="Q23" s="43"/>
      <c r="R23" s="47"/>
      <c r="S23" s="44"/>
      <c r="T23" s="44"/>
      <c r="U23" s="45"/>
      <c r="V23" s="48"/>
      <c r="W23" s="48"/>
      <c r="X23" s="48"/>
      <c r="Y23" s="56"/>
      <c r="Z23" s="56"/>
      <c r="AA23" s="41"/>
      <c r="AB23" s="51"/>
      <c r="AC23" s="48"/>
      <c r="AD23" s="44"/>
    </row>
    <row r="24" spans="1:30">
      <c r="A24" s="68"/>
      <c r="B24" s="66"/>
      <c r="C24" s="66"/>
      <c r="D24" s="66"/>
      <c r="E24" s="67"/>
      <c r="F24" s="48"/>
      <c r="G24" s="44"/>
      <c r="H24" s="46"/>
      <c r="I24" s="46"/>
      <c r="J24" s="47"/>
      <c r="K24" s="39"/>
      <c r="L24" s="39"/>
      <c r="M24" s="39"/>
      <c r="N24" s="39"/>
      <c r="O24" s="69"/>
      <c r="P24" s="45"/>
      <c r="Q24" s="43"/>
      <c r="R24" s="47"/>
      <c r="S24" s="44"/>
      <c r="T24" s="44"/>
      <c r="U24" s="45"/>
      <c r="V24" s="48"/>
      <c r="W24" s="48"/>
      <c r="X24" s="48"/>
      <c r="Y24" s="56"/>
      <c r="Z24" s="56"/>
      <c r="AA24" s="41"/>
      <c r="AB24" s="51"/>
      <c r="AC24" s="48"/>
      <c r="AD24" s="44"/>
    </row>
    <row r="25" spans="1:30" ht="82.8">
      <c r="A25" s="147" t="s">
        <v>62</v>
      </c>
      <c r="B25" s="149"/>
      <c r="C25" s="39">
        <f>C23+1</f>
        <v>13</v>
      </c>
      <c r="D25" s="66" t="s">
        <v>63</v>
      </c>
      <c r="E25" s="148" t="s">
        <v>64</v>
      </c>
      <c r="F25" s="47"/>
      <c r="G25" s="44">
        <v>3860000000</v>
      </c>
      <c r="H25" s="46"/>
      <c r="I25" s="46"/>
      <c r="J25" s="39"/>
      <c r="K25" s="52">
        <v>46083</v>
      </c>
      <c r="L25" s="52">
        <f t="shared" ref="L25:L26" si="7">K25+31</f>
        <v>46114</v>
      </c>
      <c r="M25" s="65">
        <f>L25-E1</f>
        <v>18</v>
      </c>
      <c r="N25" s="65" t="s">
        <v>52</v>
      </c>
      <c r="O25" s="61">
        <f t="shared" ref="O25:O26" si="8">L25+21</f>
        <v>46135</v>
      </c>
      <c r="P25" s="46"/>
      <c r="Q25" s="75"/>
      <c r="R25" s="73"/>
      <c r="S25" s="74"/>
      <c r="T25" s="74"/>
      <c r="U25" s="45"/>
      <c r="V25" s="48"/>
      <c r="W25" s="48"/>
      <c r="X25" s="48"/>
      <c r="Y25" s="56"/>
      <c r="Z25" s="56"/>
      <c r="AA25" s="41"/>
      <c r="AB25" s="51"/>
      <c r="AC25" s="48"/>
      <c r="AD25" s="44"/>
    </row>
    <row r="26" spans="1:30" ht="231">
      <c r="A26" s="145"/>
      <c r="B26" s="149"/>
      <c r="C26" s="97">
        <f t="shared" ref="C26:C30" si="9">C25+1</f>
        <v>14</v>
      </c>
      <c r="D26" s="150" t="s">
        <v>65</v>
      </c>
      <c r="E26" s="148" t="s">
        <v>66</v>
      </c>
      <c r="F26" s="47"/>
      <c r="G26" s="44"/>
      <c r="H26" s="46"/>
      <c r="I26" s="46"/>
      <c r="J26" s="39"/>
      <c r="K26" s="52">
        <v>46042</v>
      </c>
      <c r="L26" s="52">
        <f t="shared" si="7"/>
        <v>46073</v>
      </c>
      <c r="M26" s="55">
        <f>L26-E1</f>
        <v>-23</v>
      </c>
      <c r="N26" s="76" t="s">
        <v>67</v>
      </c>
      <c r="O26" s="61">
        <f t="shared" si="8"/>
        <v>46094</v>
      </c>
      <c r="P26" s="46"/>
      <c r="Q26" s="75"/>
      <c r="R26" s="73"/>
      <c r="S26" s="74"/>
      <c r="T26" s="74"/>
      <c r="U26" s="45"/>
      <c r="V26" s="48"/>
      <c r="W26" s="48"/>
      <c r="X26" s="48"/>
      <c r="Y26" s="56"/>
      <c r="Z26" s="56"/>
      <c r="AA26" s="41"/>
      <c r="AB26" s="51"/>
      <c r="AC26" s="48"/>
      <c r="AD26" s="44"/>
    </row>
    <row r="27" spans="1:30" ht="55.2">
      <c r="A27" s="145"/>
      <c r="B27" s="39" t="e">
        <f>#REF!+1</f>
        <v>#REF!</v>
      </c>
      <c r="C27" s="39">
        <f t="shared" si="9"/>
        <v>15</v>
      </c>
      <c r="D27" s="41" t="s">
        <v>68</v>
      </c>
      <c r="E27" s="94"/>
      <c r="F27" s="55" t="s">
        <v>69</v>
      </c>
      <c r="G27" s="53">
        <v>45000000</v>
      </c>
      <c r="H27" s="46"/>
      <c r="I27" s="46"/>
      <c r="J27" s="39"/>
      <c r="K27" s="48"/>
      <c r="L27" s="48"/>
      <c r="M27" s="47"/>
      <c r="N27" s="47"/>
      <c r="O27" s="71"/>
      <c r="P27" s="46"/>
      <c r="Q27" s="47"/>
      <c r="R27" s="47"/>
      <c r="S27" s="44"/>
      <c r="T27" s="44"/>
      <c r="U27" s="45"/>
      <c r="V27" s="48"/>
      <c r="W27" s="48"/>
      <c r="X27" s="48"/>
      <c r="Y27" s="56"/>
      <c r="Z27" s="56"/>
      <c r="AA27" s="41"/>
      <c r="AB27" s="51"/>
      <c r="AC27" s="48"/>
      <c r="AD27" s="44"/>
    </row>
    <row r="28" spans="1:30" ht="69">
      <c r="A28" s="145"/>
      <c r="B28" s="39" t="e">
        <f t="shared" ref="B28:B29" si="10">B29+1</f>
        <v>#REF!</v>
      </c>
      <c r="C28" s="39">
        <f t="shared" si="9"/>
        <v>16</v>
      </c>
      <c r="D28" s="41" t="s">
        <v>70</v>
      </c>
      <c r="E28" s="70"/>
      <c r="F28" s="49">
        <v>46098</v>
      </c>
      <c r="G28" s="44">
        <v>106000000</v>
      </c>
      <c r="H28" s="46"/>
      <c r="I28" s="46"/>
      <c r="J28" s="47"/>
      <c r="K28" s="39"/>
      <c r="L28" s="39"/>
      <c r="M28" s="39"/>
      <c r="N28" s="39"/>
      <c r="O28" s="69"/>
      <c r="P28" s="45"/>
      <c r="Q28" s="54">
        <f>F28</f>
        <v>46098</v>
      </c>
      <c r="R28" s="65"/>
      <c r="S28" s="77"/>
      <c r="T28" s="77"/>
      <c r="U28" s="45"/>
      <c r="V28" s="48"/>
      <c r="W28" s="48"/>
      <c r="X28" s="48"/>
      <c r="Y28" s="56"/>
      <c r="Z28" s="56"/>
      <c r="AA28" s="41"/>
      <c r="AB28" s="51"/>
      <c r="AC28" s="48"/>
      <c r="AD28" s="44"/>
    </row>
    <row r="29" spans="1:30" ht="96.6">
      <c r="A29" s="145"/>
      <c r="B29" s="39" t="e">
        <f t="shared" si="10"/>
        <v>#REF!</v>
      </c>
      <c r="C29" s="39">
        <f t="shared" si="9"/>
        <v>17</v>
      </c>
      <c r="D29" s="41" t="s">
        <v>71</v>
      </c>
      <c r="E29" s="151"/>
      <c r="F29" s="55" t="s">
        <v>69</v>
      </c>
      <c r="G29" s="44">
        <v>99500000</v>
      </c>
      <c r="H29" s="46"/>
      <c r="I29" s="46"/>
      <c r="J29" s="47"/>
      <c r="K29" s="39"/>
      <c r="L29" s="39"/>
      <c r="M29" s="39"/>
      <c r="N29" s="39"/>
      <c r="O29" s="69"/>
      <c r="P29" s="45"/>
      <c r="Q29" s="43"/>
      <c r="R29" s="47"/>
      <c r="S29" s="44"/>
      <c r="T29" s="44"/>
      <c r="U29" s="45"/>
      <c r="V29" s="48"/>
      <c r="W29" s="48"/>
      <c r="X29" s="48"/>
      <c r="Y29" s="56"/>
      <c r="Z29" s="56"/>
      <c r="AA29" s="41"/>
      <c r="AB29" s="51"/>
      <c r="AC29" s="48"/>
      <c r="AD29" s="44"/>
    </row>
    <row r="30" spans="1:30" ht="55.2">
      <c r="A30" s="142"/>
      <c r="B30" s="39" t="e">
        <f>B27+1</f>
        <v>#REF!</v>
      </c>
      <c r="C30" s="39">
        <f t="shared" si="9"/>
        <v>18</v>
      </c>
      <c r="D30" s="41" t="s">
        <v>72</v>
      </c>
      <c r="E30" s="152" t="s">
        <v>73</v>
      </c>
      <c r="F30" s="153"/>
      <c r="G30" s="53">
        <v>57320618</v>
      </c>
      <c r="H30" s="46"/>
      <c r="I30" s="46"/>
      <c r="J30" s="47"/>
      <c r="K30" s="39"/>
      <c r="L30" s="39"/>
      <c r="M30" s="39"/>
      <c r="N30" s="39"/>
      <c r="O30" s="69"/>
      <c r="P30" s="45"/>
      <c r="Q30" s="43"/>
      <c r="R30" s="47"/>
      <c r="S30" s="44"/>
      <c r="T30" s="44"/>
      <c r="U30" s="45"/>
      <c r="V30" s="48"/>
      <c r="W30" s="48"/>
      <c r="X30" s="48"/>
      <c r="Y30" s="56"/>
      <c r="Z30" s="56"/>
      <c r="AA30" s="41"/>
      <c r="AB30" s="51"/>
      <c r="AC30" s="48"/>
      <c r="AD30" s="44"/>
    </row>
    <row r="31" spans="1:30">
      <c r="A31" s="68"/>
      <c r="B31" s="66"/>
      <c r="C31" s="66"/>
      <c r="D31" s="66"/>
      <c r="E31" s="67"/>
      <c r="F31" s="48"/>
      <c r="G31" s="44"/>
      <c r="H31" s="46"/>
      <c r="I31" s="46"/>
      <c r="J31" s="47"/>
      <c r="K31" s="39"/>
      <c r="L31" s="39"/>
      <c r="M31" s="39"/>
      <c r="N31" s="39"/>
      <c r="O31" s="69"/>
      <c r="P31" s="45"/>
      <c r="Q31" s="43"/>
      <c r="R31" s="47"/>
      <c r="S31" s="44"/>
      <c r="T31" s="44"/>
      <c r="U31" s="45"/>
      <c r="V31" s="48"/>
      <c r="W31" s="48"/>
      <c r="X31" s="48"/>
      <c r="Y31" s="56"/>
      <c r="Z31" s="56"/>
      <c r="AA31" s="41"/>
      <c r="AB31" s="51"/>
      <c r="AC31" s="48"/>
      <c r="AD31" s="44"/>
    </row>
    <row r="32" spans="1:30" ht="82.8">
      <c r="A32" s="154" t="s">
        <v>74</v>
      </c>
      <c r="B32" s="66"/>
      <c r="C32" s="39">
        <f>C30+1</f>
        <v>19</v>
      </c>
      <c r="D32" s="66" t="s">
        <v>75</v>
      </c>
      <c r="E32" s="67" t="s">
        <v>76</v>
      </c>
      <c r="F32" s="48"/>
      <c r="G32" s="44">
        <v>1287300000</v>
      </c>
      <c r="H32" s="46"/>
      <c r="I32" s="46"/>
      <c r="J32" s="47"/>
      <c r="K32" s="48">
        <v>45945</v>
      </c>
      <c r="L32" s="48">
        <v>45992</v>
      </c>
      <c r="M32" s="40"/>
      <c r="N32" s="41" t="s">
        <v>77</v>
      </c>
      <c r="O32" s="69"/>
      <c r="P32" s="45"/>
      <c r="Q32" s="78"/>
      <c r="R32" s="47" t="s">
        <v>78</v>
      </c>
      <c r="S32" s="44"/>
      <c r="T32" s="44">
        <v>1080400000</v>
      </c>
      <c r="U32" s="45"/>
      <c r="V32" s="52">
        <v>46009</v>
      </c>
      <c r="W32" s="52">
        <v>46095</v>
      </c>
      <c r="X32" s="52">
        <v>46097</v>
      </c>
      <c r="Y32" s="65">
        <v>-2</v>
      </c>
      <c r="Z32" s="79">
        <v>1</v>
      </c>
      <c r="AA32" s="41"/>
      <c r="AB32" s="51"/>
      <c r="AC32" s="48"/>
      <c r="AD32" s="44"/>
    </row>
    <row r="33" spans="1:30" ht="96.6">
      <c r="A33" s="145"/>
      <c r="B33" s="66"/>
      <c r="C33" s="97">
        <f t="shared" ref="C33:C34" si="11">C32+1</f>
        <v>20</v>
      </c>
      <c r="D33" s="80" t="s">
        <v>79</v>
      </c>
      <c r="E33" s="67"/>
      <c r="F33" s="81"/>
      <c r="G33" s="44">
        <v>5350000000</v>
      </c>
      <c r="H33" s="46"/>
      <c r="I33" s="46"/>
      <c r="J33" s="47"/>
      <c r="K33" s="39"/>
      <c r="L33" s="82">
        <v>46011</v>
      </c>
      <c r="M33" s="39"/>
      <c r="N33" s="39"/>
      <c r="O33" s="69"/>
      <c r="P33" s="45"/>
      <c r="Q33" s="54">
        <v>45695</v>
      </c>
      <c r="R33" s="83">
        <v>45709</v>
      </c>
      <c r="S33" s="84" t="s">
        <v>80</v>
      </c>
      <c r="T33" s="77">
        <v>1311088769</v>
      </c>
      <c r="U33" s="45"/>
      <c r="V33" s="61">
        <v>45775</v>
      </c>
      <c r="W33" s="61">
        <v>45887</v>
      </c>
      <c r="X33" s="61"/>
      <c r="Y33" s="85"/>
      <c r="Z33" s="40" t="s">
        <v>81</v>
      </c>
      <c r="AA33" s="41"/>
      <c r="AB33" s="51"/>
      <c r="AC33" s="48"/>
      <c r="AD33" s="44"/>
    </row>
    <row r="34" spans="1:30" ht="41.4">
      <c r="A34" s="142"/>
      <c r="B34" s="66"/>
      <c r="C34" s="39">
        <f t="shared" si="11"/>
        <v>21</v>
      </c>
      <c r="D34" s="41" t="s">
        <v>82</v>
      </c>
      <c r="E34" s="151"/>
      <c r="F34" s="55" t="s">
        <v>40</v>
      </c>
      <c r="G34" s="53">
        <v>199950000</v>
      </c>
      <c r="H34" s="46"/>
      <c r="I34" s="46"/>
      <c r="J34" s="47"/>
      <c r="K34" s="39"/>
      <c r="L34" s="39"/>
      <c r="M34" s="39"/>
      <c r="N34" s="39"/>
      <c r="O34" s="69"/>
      <c r="P34" s="45"/>
      <c r="Q34" s="43"/>
      <c r="R34" s="47"/>
      <c r="S34" s="44"/>
      <c r="T34" s="44"/>
      <c r="U34" s="45"/>
      <c r="V34" s="48"/>
      <c r="W34" s="48"/>
      <c r="X34" s="48"/>
      <c r="Y34" s="56"/>
      <c r="Z34" s="56"/>
      <c r="AA34" s="41"/>
      <c r="AB34" s="51"/>
      <c r="AC34" s="48"/>
      <c r="AD34" s="44"/>
    </row>
    <row r="35" spans="1:30" ht="15">
      <c r="A35" s="155"/>
      <c r="B35" s="66"/>
      <c r="C35" s="39"/>
      <c r="D35" s="57"/>
      <c r="E35" s="57"/>
      <c r="F35" s="57"/>
      <c r="G35" s="57"/>
      <c r="H35" s="46"/>
      <c r="I35" s="46"/>
      <c r="J35" s="47"/>
      <c r="K35" s="39"/>
      <c r="L35" s="39"/>
      <c r="M35" s="39"/>
      <c r="N35" s="39"/>
      <c r="O35" s="69"/>
      <c r="P35" s="45"/>
      <c r="Q35" s="43"/>
      <c r="R35" s="47"/>
      <c r="S35" s="44"/>
      <c r="T35" s="44"/>
      <c r="U35" s="45"/>
      <c r="V35" s="48"/>
      <c r="W35" s="48"/>
      <c r="X35" s="48"/>
      <c r="Y35" s="56"/>
      <c r="Z35" s="56"/>
      <c r="AA35" s="41"/>
      <c r="AB35" s="51"/>
      <c r="AC35" s="48"/>
      <c r="AD35" s="44"/>
    </row>
    <row r="36" spans="1:30" ht="82.8">
      <c r="A36" s="154" t="s">
        <v>83</v>
      </c>
      <c r="B36" s="66"/>
      <c r="C36" s="39">
        <f>C34+1</f>
        <v>22</v>
      </c>
      <c r="D36" s="66" t="s">
        <v>84</v>
      </c>
      <c r="E36" s="67"/>
      <c r="F36" s="48"/>
      <c r="G36" s="44">
        <v>720000000</v>
      </c>
      <c r="H36" s="46"/>
      <c r="I36" s="46"/>
      <c r="J36" s="47"/>
      <c r="K36" s="61">
        <v>45992</v>
      </c>
      <c r="L36" s="61">
        <v>46023</v>
      </c>
      <c r="M36" s="40"/>
      <c r="N36" s="40" t="s">
        <v>85</v>
      </c>
      <c r="O36" s="69"/>
      <c r="P36" s="45"/>
      <c r="Q36" s="83">
        <v>46073</v>
      </c>
      <c r="R36" s="83">
        <f>Q36+21</f>
        <v>46094</v>
      </c>
      <c r="S36" s="77">
        <f>R36-E1</f>
        <v>-2</v>
      </c>
      <c r="T36" s="77"/>
      <c r="U36" s="45"/>
      <c r="V36" s="48"/>
      <c r="W36" s="48"/>
      <c r="X36" s="48"/>
      <c r="Y36" s="56"/>
      <c r="Z36" s="56"/>
      <c r="AA36" s="41"/>
      <c r="AB36" s="51"/>
      <c r="AC36" s="48"/>
      <c r="AD36" s="44"/>
    </row>
    <row r="37" spans="1:30" ht="27.6">
      <c r="A37" s="145"/>
      <c r="B37" s="66"/>
      <c r="C37" s="39">
        <v>23</v>
      </c>
      <c r="D37" s="66" t="s">
        <v>86</v>
      </c>
      <c r="E37" s="67"/>
      <c r="F37" s="48"/>
      <c r="G37" s="44">
        <v>1390000000</v>
      </c>
      <c r="H37" s="46"/>
      <c r="I37" s="46"/>
      <c r="J37" s="47"/>
      <c r="K37" s="52">
        <v>46055</v>
      </c>
      <c r="L37" s="52">
        <f t="shared" ref="L37:L38" si="12">K37+31</f>
        <v>46086</v>
      </c>
      <c r="M37" s="55">
        <f>L37-E1</f>
        <v>-10</v>
      </c>
      <c r="N37" s="65" t="s">
        <v>52</v>
      </c>
      <c r="O37" s="69"/>
      <c r="P37" s="45"/>
      <c r="Q37" s="49"/>
      <c r="R37" s="86"/>
      <c r="S37" s="87"/>
      <c r="T37" s="87"/>
      <c r="U37" s="45"/>
      <c r="V37" s="49"/>
      <c r="W37" s="49"/>
      <c r="X37" s="63"/>
      <c r="Y37" s="40"/>
      <c r="Z37" s="40"/>
      <c r="AA37" s="41"/>
      <c r="AB37" s="51"/>
      <c r="AC37" s="48"/>
      <c r="AD37" s="44"/>
    </row>
    <row r="38" spans="1:30" ht="27.6">
      <c r="A38" s="145"/>
      <c r="B38" s="66"/>
      <c r="C38" s="39">
        <f t="shared" ref="C38:C45" si="13">C37+1</f>
        <v>24</v>
      </c>
      <c r="D38" s="66" t="s">
        <v>87</v>
      </c>
      <c r="E38" s="67"/>
      <c r="F38" s="48"/>
      <c r="G38" s="44">
        <v>725000000</v>
      </c>
      <c r="H38" s="46"/>
      <c r="I38" s="46"/>
      <c r="J38" s="47"/>
      <c r="K38" s="52">
        <v>46113</v>
      </c>
      <c r="L38" s="52">
        <f t="shared" si="12"/>
        <v>46144</v>
      </c>
      <c r="M38" s="55"/>
      <c r="N38" s="55" t="s">
        <v>88</v>
      </c>
      <c r="O38" s="69"/>
      <c r="P38" s="45"/>
      <c r="Q38" s="49"/>
      <c r="R38" s="86"/>
      <c r="S38" s="87"/>
      <c r="T38" s="87"/>
      <c r="U38" s="45"/>
      <c r="V38" s="49"/>
      <c r="W38" s="49"/>
      <c r="X38" s="63"/>
      <c r="Y38" s="40"/>
      <c r="Z38" s="40"/>
      <c r="AA38" s="41"/>
      <c r="AB38" s="51"/>
      <c r="AC38" s="48"/>
      <c r="AD38" s="44"/>
    </row>
    <row r="39" spans="1:30" ht="165.6">
      <c r="A39" s="145"/>
      <c r="B39" s="66"/>
      <c r="C39" s="97">
        <f t="shared" si="13"/>
        <v>25</v>
      </c>
      <c r="D39" s="66" t="s">
        <v>89</v>
      </c>
      <c r="E39" s="70" t="s">
        <v>90</v>
      </c>
      <c r="F39" s="48"/>
      <c r="G39" s="44">
        <v>689750000</v>
      </c>
      <c r="H39" s="46"/>
      <c r="I39" s="46"/>
      <c r="J39" s="47"/>
      <c r="K39" s="61"/>
      <c r="L39" s="61"/>
      <c r="M39" s="40"/>
      <c r="N39" s="40"/>
      <c r="O39" s="69"/>
      <c r="P39" s="45"/>
      <c r="Q39" s="49"/>
      <c r="R39" s="86"/>
      <c r="S39" s="87"/>
      <c r="T39" s="87"/>
      <c r="U39" s="45"/>
      <c r="V39" s="54">
        <v>46124</v>
      </c>
      <c r="W39" s="54">
        <v>46154</v>
      </c>
      <c r="X39" s="64"/>
      <c r="Y39" s="55">
        <f>W39-E1</f>
        <v>58</v>
      </c>
      <c r="Z39" s="55" t="s">
        <v>91</v>
      </c>
      <c r="AA39" s="41"/>
      <c r="AB39" s="51"/>
      <c r="AC39" s="48"/>
      <c r="AD39" s="44"/>
    </row>
    <row r="40" spans="1:30" ht="110.4">
      <c r="A40" s="145"/>
      <c r="B40" s="66"/>
      <c r="C40" s="97">
        <f t="shared" si="13"/>
        <v>26</v>
      </c>
      <c r="D40" s="66" t="s">
        <v>92</v>
      </c>
      <c r="E40" s="70" t="s">
        <v>93</v>
      </c>
      <c r="F40" s="48">
        <v>45954</v>
      </c>
      <c r="G40" s="44"/>
      <c r="H40" s="46"/>
      <c r="I40" s="46"/>
      <c r="J40" s="47"/>
      <c r="K40" s="61">
        <v>45861</v>
      </c>
      <c r="L40" s="61">
        <v>45987</v>
      </c>
      <c r="M40" s="40"/>
      <c r="N40" s="40" t="s">
        <v>94</v>
      </c>
      <c r="O40" s="69"/>
      <c r="P40" s="45"/>
      <c r="Q40" s="54">
        <v>46063</v>
      </c>
      <c r="R40" s="88">
        <v>46092</v>
      </c>
      <c r="S40" s="77">
        <f>R40-E1</f>
        <v>-4</v>
      </c>
      <c r="T40" s="77">
        <v>144750000</v>
      </c>
      <c r="U40" s="45"/>
      <c r="V40" s="48"/>
      <c r="W40" s="48"/>
      <c r="X40" s="48"/>
      <c r="Y40" s="56"/>
      <c r="Z40" s="56"/>
      <c r="AA40" s="41"/>
      <c r="AB40" s="51"/>
      <c r="AC40" s="48"/>
      <c r="AD40" s="44"/>
    </row>
    <row r="41" spans="1:30" ht="165.6">
      <c r="A41" s="145"/>
      <c r="B41" s="66"/>
      <c r="C41" s="97">
        <f t="shared" si="13"/>
        <v>27</v>
      </c>
      <c r="D41" s="41" t="s">
        <v>95</v>
      </c>
      <c r="E41" s="64" t="s">
        <v>96</v>
      </c>
      <c r="F41" s="54">
        <v>45980</v>
      </c>
      <c r="G41" s="53"/>
      <c r="H41" s="46"/>
      <c r="I41" s="46"/>
      <c r="J41" s="47"/>
      <c r="K41" s="89"/>
      <c r="L41" s="90"/>
      <c r="M41" s="90"/>
      <c r="N41" s="91"/>
      <c r="O41" s="92"/>
      <c r="P41" s="45"/>
      <c r="Q41" s="61"/>
      <c r="R41" s="93"/>
      <c r="S41" s="87"/>
      <c r="T41" s="87"/>
      <c r="U41" s="45"/>
      <c r="V41" s="48"/>
      <c r="W41" s="48"/>
      <c r="X41" s="48"/>
      <c r="Y41" s="56"/>
      <c r="Z41" s="56"/>
      <c r="AA41" s="41"/>
      <c r="AB41" s="51"/>
      <c r="AC41" s="48"/>
      <c r="AD41" s="44"/>
    </row>
    <row r="42" spans="1:30" ht="179.4">
      <c r="A42" s="145"/>
      <c r="B42" s="66"/>
      <c r="C42" s="39">
        <f t="shared" si="13"/>
        <v>28</v>
      </c>
      <c r="D42" s="41" t="s">
        <v>97</v>
      </c>
      <c r="E42" s="151"/>
      <c r="F42" s="55" t="s">
        <v>69</v>
      </c>
      <c r="G42" s="53">
        <v>292000000</v>
      </c>
      <c r="H42" s="46"/>
      <c r="I42" s="46"/>
      <c r="J42" s="47"/>
      <c r="K42" s="39"/>
      <c r="L42" s="39"/>
      <c r="M42" s="39"/>
      <c r="N42" s="39"/>
      <c r="O42" s="69"/>
      <c r="P42" s="45"/>
      <c r="Q42" s="43"/>
      <c r="R42" s="47"/>
      <c r="S42" s="44"/>
      <c r="T42" s="44"/>
      <c r="U42" s="45"/>
      <c r="V42" s="48"/>
      <c r="W42" s="48"/>
      <c r="X42" s="48"/>
      <c r="Y42" s="56"/>
      <c r="Z42" s="56"/>
      <c r="AA42" s="41"/>
      <c r="AB42" s="51"/>
      <c r="AC42" s="48"/>
      <c r="AD42" s="44"/>
    </row>
    <row r="43" spans="1:30" ht="110.4">
      <c r="A43" s="145"/>
      <c r="B43" s="66"/>
      <c r="C43" s="39">
        <f t="shared" si="13"/>
        <v>29</v>
      </c>
      <c r="D43" s="66" t="s">
        <v>98</v>
      </c>
      <c r="E43" s="151"/>
      <c r="F43" s="55" t="s">
        <v>99</v>
      </c>
      <c r="G43" s="44">
        <v>50000000</v>
      </c>
      <c r="H43" s="46"/>
      <c r="I43" s="46"/>
      <c r="J43" s="47"/>
      <c r="K43" s="39"/>
      <c r="L43" s="39"/>
      <c r="M43" s="39"/>
      <c r="N43" s="39"/>
      <c r="O43" s="69"/>
      <c r="P43" s="45"/>
      <c r="Q43" s="43"/>
      <c r="R43" s="47"/>
      <c r="S43" s="44"/>
      <c r="T43" s="44"/>
      <c r="U43" s="45"/>
      <c r="V43" s="48"/>
      <c r="W43" s="48"/>
      <c r="X43" s="48"/>
      <c r="Y43" s="56"/>
      <c r="Z43" s="56"/>
      <c r="AA43" s="41"/>
      <c r="AB43" s="51"/>
      <c r="AC43" s="48"/>
      <c r="AD43" s="44"/>
    </row>
    <row r="44" spans="1:30" ht="27.6">
      <c r="A44" s="145"/>
      <c r="B44" s="66"/>
      <c r="C44" s="39">
        <f t="shared" si="13"/>
        <v>30</v>
      </c>
      <c r="D44" s="66" t="s">
        <v>100</v>
      </c>
      <c r="E44" s="151"/>
      <c r="F44" s="55" t="s">
        <v>99</v>
      </c>
      <c r="G44" s="44">
        <v>60000000</v>
      </c>
      <c r="H44" s="46"/>
      <c r="I44" s="46"/>
      <c r="J44" s="47"/>
      <c r="K44" s="39"/>
      <c r="L44" s="39"/>
      <c r="M44" s="39"/>
      <c r="N44" s="39"/>
      <c r="O44" s="69"/>
      <c r="P44" s="45"/>
      <c r="Q44" s="43"/>
      <c r="R44" s="47"/>
      <c r="S44" s="44"/>
      <c r="T44" s="44"/>
      <c r="U44" s="45"/>
      <c r="V44" s="48"/>
      <c r="W44" s="48"/>
      <c r="X44" s="48"/>
      <c r="Y44" s="56"/>
      <c r="Z44" s="56"/>
      <c r="AA44" s="41"/>
      <c r="AB44" s="51"/>
      <c r="AC44" s="48"/>
      <c r="AD44" s="44"/>
    </row>
    <row r="45" spans="1:30" ht="69">
      <c r="A45" s="142"/>
      <c r="B45" s="66"/>
      <c r="C45" s="39">
        <f t="shared" si="13"/>
        <v>31</v>
      </c>
      <c r="D45" s="66" t="s">
        <v>101</v>
      </c>
      <c r="E45" s="70" t="s">
        <v>102</v>
      </c>
      <c r="F45" s="40"/>
      <c r="G45" s="44">
        <v>360000000</v>
      </c>
      <c r="H45" s="46"/>
      <c r="I45" s="46"/>
      <c r="J45" s="47"/>
      <c r="K45" s="39"/>
      <c r="L45" s="39"/>
      <c r="M45" s="39"/>
      <c r="N45" s="39"/>
      <c r="O45" s="69"/>
      <c r="P45" s="45"/>
      <c r="Q45" s="54"/>
      <c r="R45" s="88">
        <v>46099</v>
      </c>
      <c r="S45" s="77" t="s">
        <v>103</v>
      </c>
      <c r="T45" s="84" t="s">
        <v>104</v>
      </c>
      <c r="U45" s="45"/>
      <c r="V45" s="48"/>
      <c r="W45" s="48"/>
      <c r="X45" s="48"/>
      <c r="Y45" s="56"/>
      <c r="Z45" s="56"/>
      <c r="AA45" s="41"/>
      <c r="AB45" s="51"/>
      <c r="AC45" s="48"/>
      <c r="AD45" s="44"/>
    </row>
    <row r="46" spans="1:30" ht="15">
      <c r="A46" s="155"/>
      <c r="B46" s="66"/>
      <c r="C46" s="57"/>
      <c r="D46" s="41"/>
      <c r="E46" s="41"/>
      <c r="F46" s="43"/>
      <c r="G46" s="53"/>
      <c r="H46" s="46"/>
      <c r="I46" s="46"/>
      <c r="J46" s="47"/>
      <c r="K46" s="39"/>
      <c r="L46" s="39"/>
      <c r="M46" s="39"/>
      <c r="N46" s="39"/>
      <c r="O46" s="69"/>
      <c r="P46" s="45"/>
      <c r="Q46" s="43"/>
      <c r="R46" s="47"/>
      <c r="S46" s="44"/>
      <c r="T46" s="44"/>
      <c r="U46" s="45"/>
      <c r="V46" s="48"/>
      <c r="W46" s="48"/>
      <c r="X46" s="48"/>
      <c r="Y46" s="56"/>
      <c r="Z46" s="56"/>
      <c r="AA46" s="41"/>
      <c r="AB46" s="51"/>
      <c r="AC46" s="48"/>
      <c r="AD46" s="44"/>
    </row>
    <row r="47" spans="1:30" ht="82.8">
      <c r="A47" s="154" t="s">
        <v>105</v>
      </c>
      <c r="B47" s="66"/>
      <c r="C47" s="39">
        <f>C45+1</f>
        <v>32</v>
      </c>
      <c r="D47" s="41" t="s">
        <v>106</v>
      </c>
      <c r="E47" s="41"/>
      <c r="F47" s="43"/>
      <c r="G47" s="44">
        <v>880000000</v>
      </c>
      <c r="H47" s="46"/>
      <c r="I47" s="46"/>
      <c r="J47" s="47"/>
      <c r="K47" s="52">
        <v>46083</v>
      </c>
      <c r="L47" s="52">
        <f>K47+31</f>
        <v>46114</v>
      </c>
      <c r="M47" s="55">
        <f>L47-E1</f>
        <v>18</v>
      </c>
      <c r="N47" s="65" t="s">
        <v>52</v>
      </c>
      <c r="O47" s="61">
        <f>L47+21</f>
        <v>46135</v>
      </c>
      <c r="P47" s="45"/>
      <c r="Q47" s="49"/>
      <c r="R47" s="93"/>
      <c r="S47" s="87"/>
      <c r="T47" s="87"/>
      <c r="U47" s="45"/>
      <c r="V47" s="49"/>
      <c r="W47" s="49"/>
      <c r="X47" s="61"/>
      <c r="Y47" s="85"/>
      <c r="Z47" s="85"/>
      <c r="AA47" s="41"/>
      <c r="AB47" s="51"/>
      <c r="AC47" s="48"/>
      <c r="AD47" s="44"/>
    </row>
    <row r="48" spans="1:30" ht="69">
      <c r="A48" s="145"/>
      <c r="B48" s="66"/>
      <c r="C48" s="97">
        <f t="shared" ref="C48:C51" si="14">C47+1</f>
        <v>33</v>
      </c>
      <c r="D48" s="41" t="s">
        <v>107</v>
      </c>
      <c r="E48" s="41"/>
      <c r="F48" s="43"/>
      <c r="G48" s="53">
        <v>1455235717</v>
      </c>
      <c r="H48" s="46"/>
      <c r="I48" s="46"/>
      <c r="J48" s="47"/>
      <c r="K48" s="39"/>
      <c r="L48" s="39"/>
      <c r="M48" s="39"/>
      <c r="N48" s="39"/>
      <c r="O48" s="69"/>
      <c r="P48" s="45"/>
      <c r="Q48" s="49"/>
      <c r="R48" s="43">
        <v>45981</v>
      </c>
      <c r="S48" s="87"/>
      <c r="T48" s="87">
        <v>1325902770</v>
      </c>
      <c r="U48" s="45"/>
      <c r="V48" s="54">
        <v>45989</v>
      </c>
      <c r="W48" s="54">
        <v>45747</v>
      </c>
      <c r="X48" s="52"/>
      <c r="Y48" s="79"/>
      <c r="Z48" s="55" t="s">
        <v>108</v>
      </c>
      <c r="AA48" s="41"/>
      <c r="AB48" s="51"/>
      <c r="AC48" s="48"/>
      <c r="AD48" s="44"/>
    </row>
    <row r="49" spans="1:30" ht="165.6">
      <c r="A49" s="145"/>
      <c r="B49" s="66"/>
      <c r="C49" s="97">
        <f t="shared" si="14"/>
        <v>34</v>
      </c>
      <c r="D49" s="66" t="s">
        <v>109</v>
      </c>
      <c r="E49" s="94" t="s">
        <v>110</v>
      </c>
      <c r="F49" s="55" t="s">
        <v>40</v>
      </c>
      <c r="G49" s="44">
        <v>264000000</v>
      </c>
      <c r="H49" s="46"/>
      <c r="I49" s="46"/>
      <c r="J49" s="47"/>
      <c r="K49" s="39"/>
      <c r="L49" s="39"/>
      <c r="M49" s="39"/>
      <c r="N49" s="39"/>
      <c r="O49" s="69"/>
      <c r="P49" s="45"/>
      <c r="Q49" s="43"/>
      <c r="R49" s="47"/>
      <c r="S49" s="44"/>
      <c r="T49" s="44"/>
      <c r="U49" s="45"/>
      <c r="V49" s="48"/>
      <c r="W49" s="48"/>
      <c r="X49" s="48"/>
      <c r="Y49" s="56"/>
      <c r="Z49" s="56"/>
      <c r="AA49" s="41"/>
      <c r="AB49" s="51"/>
      <c r="AC49" s="48"/>
      <c r="AD49" s="44"/>
    </row>
    <row r="50" spans="1:30" ht="69">
      <c r="A50" s="145"/>
      <c r="B50" s="66"/>
      <c r="C50" s="39">
        <f t="shared" si="14"/>
        <v>35</v>
      </c>
      <c r="D50" s="66" t="s">
        <v>111</v>
      </c>
      <c r="E50" s="151" t="s">
        <v>112</v>
      </c>
      <c r="F50" s="55" t="s">
        <v>113</v>
      </c>
      <c r="G50" s="44">
        <v>700000000</v>
      </c>
      <c r="H50" s="46"/>
      <c r="I50" s="46"/>
      <c r="J50" s="47"/>
      <c r="K50" s="95"/>
      <c r="L50" s="48"/>
      <c r="M50" s="39"/>
      <c r="N50" s="39"/>
      <c r="O50" s="69"/>
      <c r="P50" s="45"/>
      <c r="Q50" s="51"/>
      <c r="R50" s="47"/>
      <c r="S50" s="44"/>
      <c r="T50" s="44"/>
      <c r="U50" s="45"/>
      <c r="V50" s="48"/>
      <c r="W50" s="48"/>
      <c r="X50" s="48"/>
      <c r="Y50" s="56"/>
      <c r="Z50" s="56"/>
      <c r="AA50" s="41"/>
      <c r="AB50" s="51"/>
      <c r="AC50" s="48"/>
      <c r="AD50" s="44"/>
    </row>
    <row r="51" spans="1:30" ht="124.2">
      <c r="A51" s="142"/>
      <c r="B51" s="41"/>
      <c r="C51" s="97">
        <f t="shared" si="14"/>
        <v>36</v>
      </c>
      <c r="D51" s="66" t="s">
        <v>114</v>
      </c>
      <c r="E51" s="151" t="s">
        <v>115</v>
      </c>
      <c r="F51" s="54">
        <v>45974</v>
      </c>
      <c r="G51" s="84">
        <v>1101909160</v>
      </c>
      <c r="H51" s="46"/>
      <c r="I51" s="46"/>
      <c r="J51" s="39"/>
      <c r="K51" s="48"/>
      <c r="L51" s="48">
        <v>46021</v>
      </c>
      <c r="M51" s="41"/>
      <c r="N51" s="96" t="s">
        <v>116</v>
      </c>
      <c r="O51" s="153"/>
      <c r="P51" s="46"/>
      <c r="Q51" s="39"/>
      <c r="R51" s="43">
        <v>46077</v>
      </c>
      <c r="S51" s="53"/>
      <c r="T51" s="87">
        <v>758110439</v>
      </c>
      <c r="U51" s="45"/>
      <c r="V51" s="49"/>
      <c r="W51" s="49">
        <v>45807</v>
      </c>
      <c r="X51" s="61"/>
      <c r="Y51" s="85"/>
      <c r="Z51" s="40"/>
      <c r="AA51" s="47"/>
      <c r="AB51" s="51"/>
      <c r="AC51" s="43"/>
      <c r="AD51" s="44"/>
    </row>
    <row r="52" spans="1:30">
      <c r="A52" s="68"/>
      <c r="B52" s="41"/>
      <c r="C52" s="39"/>
      <c r="D52" s="66"/>
      <c r="E52" s="67"/>
      <c r="F52" s="47"/>
      <c r="G52" s="44"/>
      <c r="H52" s="46"/>
      <c r="I52" s="46"/>
      <c r="J52" s="39"/>
      <c r="K52" s="48"/>
      <c r="L52" s="48"/>
      <c r="M52" s="41"/>
      <c r="N52" s="41"/>
      <c r="O52" s="71"/>
      <c r="P52" s="46"/>
      <c r="Q52" s="39"/>
      <c r="R52" s="39"/>
      <c r="S52" s="53"/>
      <c r="T52" s="53"/>
      <c r="U52" s="45"/>
      <c r="V52" s="43"/>
      <c r="W52" s="43"/>
      <c r="X52" s="43"/>
      <c r="Y52" s="47"/>
      <c r="Z52" s="47"/>
      <c r="AA52" s="47"/>
      <c r="AB52" s="51"/>
      <c r="AC52" s="43"/>
      <c r="AD52" s="44"/>
    </row>
    <row r="53" spans="1:30" ht="82.8">
      <c r="A53" s="154" t="s">
        <v>117</v>
      </c>
      <c r="B53" s="41"/>
      <c r="C53" s="97">
        <f>C51+1</f>
        <v>37</v>
      </c>
      <c r="D53" s="41" t="s">
        <v>118</v>
      </c>
      <c r="E53" s="42" t="s">
        <v>119</v>
      </c>
      <c r="F53" s="43">
        <v>45684</v>
      </c>
      <c r="G53" s="44" t="s">
        <v>120</v>
      </c>
      <c r="H53" s="46"/>
      <c r="I53" s="46"/>
      <c r="J53" s="39"/>
      <c r="K53" s="48"/>
      <c r="L53" s="48"/>
      <c r="M53" s="41"/>
      <c r="N53" s="41"/>
      <c r="O53" s="71"/>
      <c r="P53" s="46"/>
      <c r="Q53" s="88">
        <v>46055</v>
      </c>
      <c r="R53" s="98">
        <f>Q53+21</f>
        <v>46076</v>
      </c>
      <c r="S53" s="77">
        <f>R53-E1</f>
        <v>-20</v>
      </c>
      <c r="T53" s="84" t="s">
        <v>104</v>
      </c>
      <c r="U53" s="45"/>
      <c r="V53" s="43"/>
      <c r="W53" s="43"/>
      <c r="X53" s="43"/>
      <c r="Y53" s="47"/>
      <c r="Z53" s="47"/>
      <c r="AA53" s="47"/>
      <c r="AB53" s="51"/>
      <c r="AC53" s="43"/>
      <c r="AD53" s="44"/>
    </row>
    <row r="54" spans="1:30" ht="82.8">
      <c r="A54" s="145"/>
      <c r="B54" s="63"/>
      <c r="C54" s="39">
        <f t="shared" ref="C54:C59" si="15">C53+1</f>
        <v>38</v>
      </c>
      <c r="D54" s="66" t="s">
        <v>121</v>
      </c>
      <c r="E54" s="67" t="s">
        <v>76</v>
      </c>
      <c r="F54" s="99"/>
      <c r="G54" s="44"/>
      <c r="H54" s="100"/>
      <c r="I54" s="100"/>
      <c r="J54" s="101"/>
      <c r="K54" s="48" t="s">
        <v>122</v>
      </c>
      <c r="L54" s="99"/>
      <c r="M54" s="102"/>
      <c r="N54" s="60" t="s">
        <v>123</v>
      </c>
      <c r="O54" s="103"/>
      <c r="P54" s="103"/>
      <c r="Q54" s="104"/>
      <c r="R54" s="93" t="s">
        <v>78</v>
      </c>
      <c r="S54" s="87"/>
      <c r="T54" s="87">
        <v>1170828000</v>
      </c>
      <c r="U54" s="100"/>
      <c r="V54" s="52">
        <v>45994</v>
      </c>
      <c r="W54" s="52">
        <v>46095</v>
      </c>
      <c r="X54" s="54">
        <f>W54</f>
        <v>46095</v>
      </c>
      <c r="Y54" s="55">
        <v>0</v>
      </c>
      <c r="Z54" s="105">
        <v>1</v>
      </c>
      <c r="AA54" s="101"/>
      <c r="AB54" s="101"/>
      <c r="AC54" s="99"/>
      <c r="AD54" s="106"/>
    </row>
    <row r="55" spans="1:30" ht="55.2">
      <c r="A55" s="145"/>
      <c r="B55" s="41"/>
      <c r="C55" s="39">
        <f t="shared" si="15"/>
        <v>39</v>
      </c>
      <c r="D55" s="41" t="s">
        <v>124</v>
      </c>
      <c r="E55" s="42"/>
      <c r="F55" s="48"/>
      <c r="G55" s="53"/>
      <c r="H55" s="46"/>
      <c r="I55" s="46"/>
      <c r="J55" s="39"/>
      <c r="K55" s="48">
        <v>45957</v>
      </c>
      <c r="L55" s="48">
        <v>46027</v>
      </c>
      <c r="M55" s="102"/>
      <c r="N55" s="60" t="s">
        <v>125</v>
      </c>
      <c r="O55" s="69"/>
      <c r="P55" s="45"/>
      <c r="Q55" s="47"/>
      <c r="R55" s="47"/>
      <c r="S55" s="44"/>
      <c r="T55" s="107">
        <v>1165500000</v>
      </c>
      <c r="U55" s="45"/>
      <c r="V55" s="49">
        <v>46027</v>
      </c>
      <c r="W55" s="49">
        <v>46062</v>
      </c>
      <c r="X55" s="49">
        <v>46062</v>
      </c>
      <c r="Y55" s="93"/>
      <c r="Z55" s="108">
        <v>1</v>
      </c>
      <c r="AA55" s="47"/>
      <c r="AB55" s="51"/>
      <c r="AC55" s="52">
        <f>X55</f>
        <v>46062</v>
      </c>
      <c r="AD55" s="53"/>
    </row>
    <row r="56" spans="1:30" ht="55.2">
      <c r="A56" s="145"/>
      <c r="B56" s="41"/>
      <c r="C56" s="39">
        <f t="shared" si="15"/>
        <v>40</v>
      </c>
      <c r="D56" s="41" t="s">
        <v>126</v>
      </c>
      <c r="E56" s="42"/>
      <c r="F56" s="48"/>
      <c r="G56" s="53"/>
      <c r="H56" s="46"/>
      <c r="I56" s="46"/>
      <c r="J56" s="39"/>
      <c r="K56" s="48">
        <v>45974</v>
      </c>
      <c r="L56" s="48">
        <v>46027</v>
      </c>
      <c r="M56" s="102"/>
      <c r="N56" s="60" t="s">
        <v>125</v>
      </c>
      <c r="O56" s="69"/>
      <c r="P56" s="45"/>
      <c r="Q56" s="47"/>
      <c r="R56" s="47"/>
      <c r="S56" s="44"/>
      <c r="T56" s="142"/>
      <c r="U56" s="45"/>
      <c r="V56" s="54">
        <v>46033</v>
      </c>
      <c r="W56" s="54">
        <v>46095</v>
      </c>
      <c r="X56" s="54">
        <v>46069</v>
      </c>
      <c r="Y56" s="65">
        <f>W56-X56</f>
        <v>26</v>
      </c>
      <c r="Z56" s="55" t="s">
        <v>127</v>
      </c>
      <c r="AA56" s="47"/>
      <c r="AB56" s="51"/>
      <c r="AC56" s="48"/>
      <c r="AD56" s="53"/>
    </row>
    <row r="57" spans="1:30" ht="82.8">
      <c r="A57" s="145"/>
      <c r="B57" s="41"/>
      <c r="C57" s="39">
        <f t="shared" si="15"/>
        <v>41</v>
      </c>
      <c r="D57" s="41" t="s">
        <v>128</v>
      </c>
      <c r="E57" s="42"/>
      <c r="F57" s="48"/>
      <c r="G57" s="53">
        <v>1500000000</v>
      </c>
      <c r="H57" s="46"/>
      <c r="I57" s="46"/>
      <c r="J57" s="39"/>
      <c r="K57" s="52">
        <v>46055</v>
      </c>
      <c r="L57" s="52">
        <f>K57+31</f>
        <v>46086</v>
      </c>
      <c r="M57" s="55">
        <v>-10</v>
      </c>
      <c r="N57" s="109" t="s">
        <v>125</v>
      </c>
      <c r="O57" s="69"/>
      <c r="P57" s="45"/>
      <c r="Q57" s="47"/>
      <c r="R57" s="47"/>
      <c r="S57" s="44"/>
      <c r="T57" s="44"/>
      <c r="U57" s="45"/>
      <c r="V57" s="43"/>
      <c r="W57" s="43"/>
      <c r="X57" s="43"/>
      <c r="Y57" s="47"/>
      <c r="Z57" s="47"/>
      <c r="AA57" s="47"/>
      <c r="AB57" s="51"/>
      <c r="AC57" s="48"/>
      <c r="AD57" s="53"/>
    </row>
    <row r="58" spans="1:30" ht="69">
      <c r="A58" s="145"/>
      <c r="B58" s="41"/>
      <c r="C58" s="39">
        <f t="shared" si="15"/>
        <v>42</v>
      </c>
      <c r="D58" s="41" t="s">
        <v>129</v>
      </c>
      <c r="E58" s="42" t="s">
        <v>130</v>
      </c>
      <c r="F58" s="48"/>
      <c r="G58" s="53"/>
      <c r="H58" s="46"/>
      <c r="I58" s="46"/>
      <c r="J58" s="39"/>
      <c r="K58" s="48"/>
      <c r="L58" s="48"/>
      <c r="M58" s="102"/>
      <c r="N58" s="102"/>
      <c r="O58" s="69"/>
      <c r="P58" s="45"/>
      <c r="Q58" s="52">
        <v>46086</v>
      </c>
      <c r="R58" s="88">
        <v>46108</v>
      </c>
      <c r="S58" s="156" t="s">
        <v>131</v>
      </c>
      <c r="T58" s="77">
        <v>475884857</v>
      </c>
      <c r="U58" s="45"/>
      <c r="V58" s="54">
        <v>46118</v>
      </c>
      <c r="W58" s="54">
        <v>46133</v>
      </c>
      <c r="X58" s="54"/>
      <c r="Y58" s="65"/>
      <c r="Z58" s="105">
        <v>0</v>
      </c>
      <c r="AA58" s="47"/>
      <c r="AB58" s="51"/>
      <c r="AC58" s="48"/>
      <c r="AD58" s="53"/>
    </row>
    <row r="59" spans="1:30" ht="55.2">
      <c r="A59" s="145"/>
      <c r="B59" s="41"/>
      <c r="C59" s="97">
        <f t="shared" si="15"/>
        <v>43</v>
      </c>
      <c r="D59" s="41" t="s">
        <v>132</v>
      </c>
      <c r="E59" s="42"/>
      <c r="F59" s="42"/>
      <c r="G59" s="53"/>
      <c r="H59" s="46"/>
      <c r="I59" s="46"/>
      <c r="J59" s="39"/>
      <c r="K59" s="48">
        <v>46055</v>
      </c>
      <c r="L59" s="48"/>
      <c r="M59" s="102"/>
      <c r="N59" s="60"/>
      <c r="O59" s="69"/>
      <c r="P59" s="45"/>
      <c r="Q59" s="47"/>
      <c r="R59" s="47"/>
      <c r="S59" s="44"/>
      <c r="T59" s="44"/>
      <c r="U59" s="45"/>
      <c r="V59" s="43"/>
      <c r="W59" s="43"/>
      <c r="X59" s="43"/>
      <c r="Y59" s="47"/>
      <c r="Z59" s="47"/>
      <c r="AA59" s="47"/>
      <c r="AB59" s="51"/>
      <c r="AC59" s="48"/>
      <c r="AD59" s="53"/>
    </row>
    <row r="60" spans="1:30" ht="151.80000000000001">
      <c r="A60" s="142"/>
      <c r="B60" s="41"/>
      <c r="C60" s="97"/>
      <c r="D60" s="41" t="s">
        <v>133</v>
      </c>
      <c r="E60" s="157" t="s">
        <v>134</v>
      </c>
      <c r="F60" s="153"/>
      <c r="G60" s="53">
        <v>350000000</v>
      </c>
      <c r="H60" s="46"/>
      <c r="I60" s="46"/>
      <c r="J60" s="39"/>
      <c r="K60" s="48"/>
      <c r="L60" s="48"/>
      <c r="M60" s="102"/>
      <c r="N60" s="60"/>
      <c r="O60" s="69"/>
      <c r="P60" s="45"/>
      <c r="Q60" s="47"/>
      <c r="R60" s="47"/>
      <c r="S60" s="44"/>
      <c r="T60" s="44"/>
      <c r="U60" s="45"/>
      <c r="V60" s="43"/>
      <c r="W60" s="43"/>
      <c r="X60" s="43"/>
      <c r="Y60" s="47"/>
      <c r="Z60" s="47"/>
      <c r="AA60" s="47"/>
      <c r="AB60" s="51"/>
      <c r="AC60" s="48"/>
      <c r="AD60" s="53"/>
    </row>
    <row r="61" spans="1:30">
      <c r="A61" s="68"/>
      <c r="B61" s="41"/>
      <c r="C61" s="41"/>
      <c r="D61" s="41"/>
      <c r="E61" s="42"/>
      <c r="F61" s="48"/>
      <c r="G61" s="53"/>
      <c r="H61" s="46"/>
      <c r="I61" s="46"/>
      <c r="J61" s="39"/>
      <c r="K61" s="48"/>
      <c r="L61" s="48"/>
      <c r="M61" s="41"/>
      <c r="N61" s="41"/>
      <c r="O61" s="69"/>
      <c r="P61" s="45"/>
      <c r="Q61" s="47"/>
      <c r="R61" s="47"/>
      <c r="S61" s="44"/>
      <c r="T61" s="44"/>
      <c r="U61" s="45"/>
      <c r="V61" s="43"/>
      <c r="W61" s="43"/>
      <c r="X61" s="43"/>
      <c r="Y61" s="47"/>
      <c r="Z61" s="47"/>
      <c r="AA61" s="47"/>
      <c r="AB61" s="51"/>
      <c r="AC61" s="48"/>
      <c r="AD61" s="53"/>
    </row>
    <row r="62" spans="1:30" ht="82.8">
      <c r="A62" s="154" t="s">
        <v>135</v>
      </c>
      <c r="B62" s="41"/>
      <c r="C62" s="97">
        <f>C59+1</f>
        <v>44</v>
      </c>
      <c r="D62" s="41" t="s">
        <v>136</v>
      </c>
      <c r="E62" s="42" t="s">
        <v>137</v>
      </c>
      <c r="F62" s="48"/>
      <c r="G62" s="53"/>
      <c r="H62" s="47"/>
      <c r="I62" s="47"/>
      <c r="J62" s="47"/>
      <c r="K62" s="43"/>
      <c r="L62" s="43"/>
      <c r="M62" s="47"/>
      <c r="N62" s="47"/>
      <c r="O62" s="93"/>
      <c r="P62" s="47"/>
      <c r="Q62" s="47"/>
      <c r="R62" s="47"/>
      <c r="S62" s="53"/>
      <c r="T62" s="53"/>
      <c r="U62" s="47"/>
      <c r="V62" s="49">
        <v>46060</v>
      </c>
      <c r="W62" s="49">
        <v>46098</v>
      </c>
      <c r="X62" s="49">
        <v>46091</v>
      </c>
      <c r="Y62" s="40">
        <f>W62-X62</f>
        <v>7</v>
      </c>
      <c r="Z62" s="108">
        <v>1</v>
      </c>
      <c r="AA62" s="47"/>
      <c r="AB62" s="51"/>
      <c r="AC62" s="54">
        <f>W62</f>
        <v>46098</v>
      </c>
      <c r="AD62" s="53"/>
    </row>
    <row r="63" spans="1:30" ht="41.4">
      <c r="A63" s="145"/>
      <c r="B63" s="41"/>
      <c r="C63" s="110">
        <f>C62+1</f>
        <v>45</v>
      </c>
      <c r="D63" s="111" t="s">
        <v>138</v>
      </c>
      <c r="E63" s="112" t="s">
        <v>139</v>
      </c>
      <c r="F63" s="43">
        <v>45869</v>
      </c>
      <c r="G63" s="43"/>
      <c r="H63" s="113"/>
      <c r="I63" s="47"/>
      <c r="J63" s="47"/>
      <c r="K63" s="43">
        <v>45869</v>
      </c>
      <c r="L63" s="81"/>
      <c r="M63" s="66"/>
      <c r="N63" s="66" t="s">
        <v>140</v>
      </c>
      <c r="O63" s="93"/>
      <c r="P63" s="47"/>
      <c r="Q63" s="61">
        <v>45890</v>
      </c>
      <c r="R63" s="61">
        <v>45898</v>
      </c>
      <c r="S63" s="87"/>
      <c r="T63" s="87">
        <v>375000000</v>
      </c>
      <c r="U63" s="47"/>
      <c r="V63" s="49" t="s">
        <v>141</v>
      </c>
      <c r="W63" s="49">
        <v>45998</v>
      </c>
      <c r="X63" s="49"/>
      <c r="Y63" s="40">
        <f>W63-E1</f>
        <v>-98</v>
      </c>
      <c r="Z63" s="93" t="s">
        <v>142</v>
      </c>
      <c r="AA63" s="47"/>
      <c r="AB63" s="51"/>
      <c r="AC63" s="43"/>
      <c r="AD63" s="53"/>
    </row>
    <row r="64" spans="1:30" ht="55.2">
      <c r="A64" s="145"/>
      <c r="B64" s="41"/>
      <c r="C64" s="142"/>
      <c r="D64" s="142"/>
      <c r="E64" s="67" t="s">
        <v>143</v>
      </c>
      <c r="F64" s="43"/>
      <c r="G64" s="43"/>
      <c r="H64" s="113"/>
      <c r="I64" s="47"/>
      <c r="J64" s="47"/>
      <c r="K64" s="43"/>
      <c r="L64" s="81"/>
      <c r="M64" s="66"/>
      <c r="N64" s="66"/>
      <c r="O64" s="93"/>
      <c r="P64" s="47"/>
      <c r="Q64" s="52">
        <v>46083</v>
      </c>
      <c r="R64" s="52"/>
      <c r="S64" s="156" t="s">
        <v>131</v>
      </c>
      <c r="T64" s="77"/>
      <c r="U64" s="47"/>
      <c r="V64" s="54">
        <f>Q64</f>
        <v>46083</v>
      </c>
      <c r="W64" s="54"/>
      <c r="X64" s="54"/>
      <c r="Y64" s="105"/>
      <c r="Z64" s="65" t="s">
        <v>144</v>
      </c>
      <c r="AA64" s="47"/>
      <c r="AB64" s="51"/>
      <c r="AC64" s="43"/>
      <c r="AD64" s="53"/>
    </row>
    <row r="65" spans="1:30" ht="69">
      <c r="A65" s="142"/>
      <c r="B65" s="41"/>
      <c r="C65" s="97">
        <f>C63+1</f>
        <v>46</v>
      </c>
      <c r="D65" s="63" t="s">
        <v>145</v>
      </c>
      <c r="E65" s="112"/>
      <c r="F65" s="43"/>
      <c r="G65" s="43"/>
      <c r="H65" s="113"/>
      <c r="I65" s="47"/>
      <c r="J65" s="47"/>
      <c r="K65" s="43"/>
      <c r="L65" s="81"/>
      <c r="M65" s="66"/>
      <c r="N65" s="66"/>
      <c r="O65" s="93"/>
      <c r="P65" s="47"/>
      <c r="Q65" s="61"/>
      <c r="R65" s="61">
        <v>46014</v>
      </c>
      <c r="S65" s="87"/>
      <c r="T65" s="87">
        <v>96000000</v>
      </c>
      <c r="U65" s="47"/>
      <c r="V65" s="49"/>
      <c r="W65" s="49">
        <v>45730</v>
      </c>
      <c r="X65" s="49">
        <v>45727</v>
      </c>
      <c r="Y65" s="40">
        <f>W65-X65</f>
        <v>3</v>
      </c>
      <c r="Z65" s="93" t="s">
        <v>146</v>
      </c>
      <c r="AA65" s="47"/>
      <c r="AB65" s="51"/>
      <c r="AC65" s="54">
        <f>W65</f>
        <v>45730</v>
      </c>
      <c r="AD65" s="53"/>
    </row>
    <row r="66" spans="1:30">
      <c r="A66" s="155"/>
      <c r="B66" s="41"/>
      <c r="C66" s="39"/>
      <c r="D66" s="41"/>
      <c r="E66" s="42"/>
      <c r="F66" s="48"/>
      <c r="G66" s="53"/>
      <c r="H66" s="47"/>
      <c r="I66" s="47"/>
      <c r="J66" s="47"/>
      <c r="K66" s="43"/>
      <c r="L66" s="43"/>
      <c r="M66" s="47"/>
      <c r="N66" s="47"/>
      <c r="O66" s="93"/>
      <c r="P66" s="47"/>
      <c r="Q66" s="47"/>
      <c r="R66" s="47"/>
      <c r="S66" s="53"/>
      <c r="T66" s="53"/>
      <c r="U66" s="47"/>
      <c r="V66" s="43"/>
      <c r="W66" s="43"/>
      <c r="X66" s="43"/>
      <c r="Y66" s="114"/>
      <c r="Z66" s="114"/>
      <c r="AA66" s="47"/>
      <c r="AB66" s="51"/>
      <c r="AC66" s="43"/>
      <c r="AD66" s="53"/>
    </row>
    <row r="67" spans="1:30" ht="82.8">
      <c r="A67" s="158" t="s">
        <v>147</v>
      </c>
      <c r="B67" s="41"/>
      <c r="C67" s="97">
        <f>C65+1</f>
        <v>47</v>
      </c>
      <c r="D67" s="41" t="s">
        <v>148</v>
      </c>
      <c r="E67" s="42" t="s">
        <v>149</v>
      </c>
      <c r="F67" s="48"/>
      <c r="G67" s="53">
        <v>630000000</v>
      </c>
      <c r="H67" s="47"/>
      <c r="I67" s="47"/>
      <c r="J67" s="47"/>
      <c r="K67" s="43"/>
      <c r="L67" s="43"/>
      <c r="M67" s="47"/>
      <c r="N67" s="47"/>
      <c r="O67" s="93"/>
      <c r="P67" s="47"/>
      <c r="Q67" s="47"/>
      <c r="R67" s="86">
        <v>46091</v>
      </c>
      <c r="S67" s="53"/>
      <c r="T67" s="53">
        <v>630000000</v>
      </c>
      <c r="U67" s="47"/>
      <c r="V67" s="54">
        <v>46072</v>
      </c>
      <c r="W67" s="54">
        <v>46172</v>
      </c>
      <c r="X67" s="54"/>
      <c r="Y67" s="105"/>
      <c r="Z67" s="65" t="s">
        <v>150</v>
      </c>
      <c r="AA67" s="47"/>
      <c r="AB67" s="51"/>
      <c r="AC67" s="43"/>
      <c r="AD67" s="53"/>
    </row>
    <row r="68" spans="1:30" ht="55.2">
      <c r="A68" s="145"/>
      <c r="B68" s="41"/>
      <c r="C68" s="39">
        <f t="shared" ref="C68:C72" si="16">C67+1</f>
        <v>48</v>
      </c>
      <c r="D68" s="41" t="s">
        <v>151</v>
      </c>
      <c r="E68" s="151"/>
      <c r="F68" s="55" t="s">
        <v>69</v>
      </c>
      <c r="G68" s="53">
        <v>15000000</v>
      </c>
      <c r="H68" s="47"/>
      <c r="I68" s="47"/>
      <c r="J68" s="47"/>
      <c r="K68" s="43"/>
      <c r="L68" s="43"/>
      <c r="M68" s="47"/>
      <c r="N68" s="47"/>
      <c r="O68" s="93"/>
      <c r="P68" s="47"/>
      <c r="Q68" s="47"/>
      <c r="R68" s="47"/>
      <c r="S68" s="53"/>
      <c r="T68" s="53"/>
      <c r="U68" s="47"/>
      <c r="V68" s="43"/>
      <c r="W68" s="43"/>
      <c r="X68" s="43"/>
      <c r="Y68" s="114"/>
      <c r="Z68" s="114"/>
      <c r="AA68" s="47"/>
      <c r="AB68" s="51"/>
      <c r="AC68" s="43"/>
      <c r="AD68" s="53"/>
    </row>
    <row r="69" spans="1:30" ht="27.6">
      <c r="A69" s="145"/>
      <c r="B69" s="41"/>
      <c r="C69" s="39">
        <f t="shared" si="16"/>
        <v>49</v>
      </c>
      <c r="D69" s="41" t="s">
        <v>152</v>
      </c>
      <c r="E69" s="151"/>
      <c r="F69" s="55" t="s">
        <v>69</v>
      </c>
      <c r="G69" s="53">
        <v>24000000</v>
      </c>
      <c r="H69" s="47"/>
      <c r="I69" s="47"/>
      <c r="J69" s="47"/>
      <c r="K69" s="43"/>
      <c r="L69" s="43"/>
      <c r="M69" s="47"/>
      <c r="N69" s="47"/>
      <c r="O69" s="93"/>
      <c r="P69" s="47"/>
      <c r="Q69" s="47"/>
      <c r="R69" s="47"/>
      <c r="S69" s="53"/>
      <c r="T69" s="53"/>
      <c r="U69" s="47"/>
      <c r="V69" s="43"/>
      <c r="W69" s="43"/>
      <c r="X69" s="43"/>
      <c r="Y69" s="114"/>
      <c r="Z69" s="114"/>
      <c r="AA69" s="47"/>
      <c r="AB69" s="51"/>
      <c r="AC69" s="43"/>
      <c r="AD69" s="53"/>
    </row>
    <row r="70" spans="1:30" ht="55.2">
      <c r="A70" s="145"/>
      <c r="B70" s="41"/>
      <c r="C70" s="39">
        <f t="shared" si="16"/>
        <v>50</v>
      </c>
      <c r="D70" s="41" t="s">
        <v>153</v>
      </c>
      <c r="E70" s="151"/>
      <c r="F70" s="55" t="s">
        <v>69</v>
      </c>
      <c r="G70" s="53">
        <v>12000000</v>
      </c>
      <c r="H70" s="47"/>
      <c r="I70" s="47"/>
      <c r="J70" s="47"/>
      <c r="K70" s="43"/>
      <c r="L70" s="43"/>
      <c r="M70" s="47"/>
      <c r="N70" s="47"/>
      <c r="O70" s="93"/>
      <c r="P70" s="47"/>
      <c r="Q70" s="47"/>
      <c r="R70" s="47"/>
      <c r="S70" s="53"/>
      <c r="T70" s="53"/>
      <c r="U70" s="47"/>
      <c r="V70" s="43"/>
      <c r="W70" s="43"/>
      <c r="X70" s="43"/>
      <c r="Y70" s="114"/>
      <c r="Z70" s="114"/>
      <c r="AA70" s="47"/>
      <c r="AB70" s="51"/>
      <c r="AC70" s="43"/>
      <c r="AD70" s="53"/>
    </row>
    <row r="71" spans="1:30" ht="41.4">
      <c r="A71" s="145"/>
      <c r="B71" s="41"/>
      <c r="C71" s="39">
        <f t="shared" si="16"/>
        <v>51</v>
      </c>
      <c r="D71" s="41" t="s">
        <v>154</v>
      </c>
      <c r="E71" s="151"/>
      <c r="F71" s="55" t="s">
        <v>69</v>
      </c>
      <c r="G71" s="53">
        <v>10000000</v>
      </c>
      <c r="H71" s="47"/>
      <c r="I71" s="47"/>
      <c r="J71" s="47"/>
      <c r="K71" s="43"/>
      <c r="L71" s="43"/>
      <c r="M71" s="47"/>
      <c r="N71" s="47"/>
      <c r="O71" s="93"/>
      <c r="P71" s="47"/>
      <c r="Q71" s="47"/>
      <c r="R71" s="47"/>
      <c r="S71" s="53"/>
      <c r="T71" s="53"/>
      <c r="U71" s="47"/>
      <c r="V71" s="43"/>
      <c r="W71" s="43"/>
      <c r="X71" s="43"/>
      <c r="Y71" s="114"/>
      <c r="Z71" s="114"/>
      <c r="AA71" s="47"/>
      <c r="AB71" s="51"/>
      <c r="AC71" s="43"/>
      <c r="AD71" s="53"/>
    </row>
    <row r="72" spans="1:30" ht="27.6">
      <c r="A72" s="142"/>
      <c r="B72" s="41"/>
      <c r="C72" s="39">
        <f t="shared" si="16"/>
        <v>52</v>
      </c>
      <c r="D72" s="41" t="s">
        <v>155</v>
      </c>
      <c r="E72" s="159" t="s">
        <v>156</v>
      </c>
      <c r="F72" s="153"/>
      <c r="G72" s="53">
        <v>40000000</v>
      </c>
      <c r="H72" s="47"/>
      <c r="I72" s="47"/>
      <c r="J72" s="47"/>
      <c r="K72" s="43"/>
      <c r="L72" s="43"/>
      <c r="M72" s="47"/>
      <c r="N72" s="47"/>
      <c r="O72" s="93"/>
      <c r="P72" s="47"/>
      <c r="Q72" s="47"/>
      <c r="R72" s="47"/>
      <c r="S72" s="53"/>
      <c r="T72" s="53"/>
      <c r="U72" s="47"/>
      <c r="V72" s="43"/>
      <c r="W72" s="43"/>
      <c r="X72" s="43"/>
      <c r="Y72" s="114"/>
      <c r="Z72" s="114"/>
      <c r="AA72" s="47"/>
      <c r="AB72" s="51"/>
      <c r="AC72" s="43"/>
      <c r="AD72" s="53"/>
    </row>
    <row r="73" spans="1:30">
      <c r="A73" s="68"/>
      <c r="B73" s="41"/>
      <c r="C73" s="39"/>
      <c r="D73" s="41"/>
      <c r="E73" s="42"/>
      <c r="F73" s="48"/>
      <c r="G73" s="53"/>
      <c r="H73" s="47"/>
      <c r="I73" s="47"/>
      <c r="J73" s="47"/>
      <c r="K73" s="43"/>
      <c r="L73" s="43"/>
      <c r="M73" s="47"/>
      <c r="N73" s="47"/>
      <c r="O73" s="93"/>
      <c r="P73" s="47"/>
      <c r="Q73" s="47"/>
      <c r="R73" s="47"/>
      <c r="S73" s="53"/>
      <c r="T73" s="53"/>
      <c r="U73" s="47"/>
      <c r="V73" s="43"/>
      <c r="W73" s="43"/>
      <c r="X73" s="43"/>
      <c r="Y73" s="114"/>
      <c r="Z73" s="114"/>
      <c r="AA73" s="47"/>
      <c r="AB73" s="51"/>
      <c r="AC73" s="43"/>
      <c r="AD73" s="53"/>
    </row>
    <row r="74" spans="1:30" ht="110.4">
      <c r="A74" s="160" t="s">
        <v>157</v>
      </c>
      <c r="B74" s="41"/>
      <c r="C74" s="97">
        <f>C72+1</f>
        <v>53</v>
      </c>
      <c r="D74" s="41" t="s">
        <v>158</v>
      </c>
      <c r="E74" s="161" t="s">
        <v>159</v>
      </c>
      <c r="F74" s="162" t="s">
        <v>160</v>
      </c>
      <c r="G74" s="53">
        <v>202240000</v>
      </c>
      <c r="H74" s="47"/>
      <c r="I74" s="47"/>
      <c r="J74" s="47"/>
      <c r="K74" s="43"/>
      <c r="L74" s="43"/>
      <c r="M74" s="47"/>
      <c r="N74" s="47"/>
      <c r="O74" s="93"/>
      <c r="P74" s="47"/>
      <c r="Q74" s="47"/>
      <c r="R74" s="47"/>
      <c r="S74" s="53"/>
      <c r="T74" s="53"/>
      <c r="U74" s="47"/>
      <c r="V74" s="43"/>
      <c r="W74" s="43"/>
      <c r="X74" s="43"/>
      <c r="Y74" s="114"/>
      <c r="Z74" s="114"/>
      <c r="AA74" s="47"/>
      <c r="AB74" s="51"/>
      <c r="AC74" s="43"/>
      <c r="AD74" s="53"/>
    </row>
    <row r="75" spans="1:30" ht="16.2">
      <c r="A75" s="115"/>
      <c r="B75" s="116"/>
      <c r="C75" s="116"/>
      <c r="D75" s="116"/>
      <c r="E75" s="116"/>
      <c r="F75" s="117"/>
      <c r="G75" s="118"/>
      <c r="H75" s="119"/>
      <c r="I75" s="119"/>
      <c r="J75" s="119"/>
      <c r="K75" s="117"/>
      <c r="L75" s="117"/>
      <c r="M75" s="119"/>
      <c r="N75" s="119"/>
      <c r="O75" s="119"/>
      <c r="P75" s="119"/>
      <c r="Q75" s="119"/>
      <c r="R75" s="119"/>
      <c r="S75" s="118"/>
      <c r="T75" s="118"/>
      <c r="U75" s="119"/>
      <c r="V75" s="117"/>
      <c r="W75" s="117"/>
      <c r="X75" s="117"/>
      <c r="Y75" s="120"/>
      <c r="Z75" s="120"/>
      <c r="AA75" s="119"/>
      <c r="AB75" s="121"/>
      <c r="AC75" s="117"/>
      <c r="AD75" s="118"/>
    </row>
  </sheetData>
  <mergeCells count="49">
    <mergeCell ref="A67:A72"/>
    <mergeCell ref="E72:F72"/>
    <mergeCell ref="N51:O51"/>
    <mergeCell ref="A53:A60"/>
    <mergeCell ref="T55:T56"/>
    <mergeCell ref="E60:F60"/>
    <mergeCell ref="A62:A65"/>
    <mergeCell ref="C63:C64"/>
    <mergeCell ref="D63:D64"/>
    <mergeCell ref="A22:A23"/>
    <mergeCell ref="A25:A30"/>
    <mergeCell ref="E30:F30"/>
    <mergeCell ref="A32:A34"/>
    <mergeCell ref="A36:A45"/>
    <mergeCell ref="A47:A51"/>
    <mergeCell ref="AD4:AD5"/>
    <mergeCell ref="A7:A8"/>
    <mergeCell ref="A10:A12"/>
    <mergeCell ref="A14:A20"/>
    <mergeCell ref="C14:C15"/>
    <mergeCell ref="D14:D15"/>
    <mergeCell ref="W4:W5"/>
    <mergeCell ref="X4:X5"/>
    <mergeCell ref="Y4:Y5"/>
    <mergeCell ref="Z4:Z5"/>
    <mergeCell ref="AA4:AA5"/>
    <mergeCell ref="AC4:AC5"/>
    <mergeCell ref="O4:O5"/>
    <mergeCell ref="Q4:Q5"/>
    <mergeCell ref="R4:R5"/>
    <mergeCell ref="S4:S5"/>
    <mergeCell ref="T4:T5"/>
    <mergeCell ref="V4:V5"/>
    <mergeCell ref="Q3:S3"/>
    <mergeCell ref="V3:Y3"/>
    <mergeCell ref="E4:E5"/>
    <mergeCell ref="F4:F5"/>
    <mergeCell ref="G4:G5"/>
    <mergeCell ref="I4:J4"/>
    <mergeCell ref="K4:K5"/>
    <mergeCell ref="L4:L5"/>
    <mergeCell ref="M4:M5"/>
    <mergeCell ref="N4:N5"/>
    <mergeCell ref="A3:A5"/>
    <mergeCell ref="B3:B5"/>
    <mergeCell ref="C3:C5"/>
    <mergeCell ref="D3:D5"/>
    <mergeCell ref="E3:F3"/>
    <mergeCell ref="K3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Presudeos's Laptop</dc:creator>
  <cp:lastModifiedBy>Presudeos's Laptop</cp:lastModifiedBy>
  <dcterms:created xsi:type="dcterms:W3CDTF">2026-04-16T07:41:25Z</dcterms:created>
  <dcterms:modified xsi:type="dcterms:W3CDTF">2026-04-16T12:43:36Z</dcterms:modified>
</cp:coreProperties>
</file>